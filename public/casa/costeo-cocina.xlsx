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eo" sheetId="1" state="visible" r:id="rId3"/>
    <sheet name="Fichas técnicas" sheetId="2" state="visible" r:id="rId4"/>
    <sheet name="Ajustes" sheetId="3" state="visible" r:id="rId5"/>
    <sheet name="Insumos" sheetId="4" state="visible" r:id="rId6"/>
    <sheet name="Preparaciones" sheetId="5" state="visible" r:id="rId7"/>
    <sheet name="Especificacion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<sst xmlns="http://schemas.openxmlformats.org/spreadsheetml/2006/main" count="1073" uniqueCount="369">
  <si>
    <t xml:space="preserve">Costeo del menú de comida — costo por plato y margen · La Quinta Pata</t>
  </si>
  <si>
    <t xml:space="preserve">Food menu costing. Edite precios en la columna D (azul). El costo viene de Especificaciones → Insumos → Preparaciones. Estado marca platos &gt;3 pts sobre el objetivo.</t>
  </si>
  <si>
    <t xml:space="preserve">Plato</t>
  </si>
  <si>
    <t xml:space="preserve">Dish (EN)</t>
  </si>
  <si>
    <t xml:space="preserve">Sección</t>
  </si>
  <si>
    <t xml:space="preserve">Precio menú ($)</t>
  </si>
  <si>
    <t xml:space="preserve">Precio neto sin ITBMS ($)</t>
  </si>
  <si>
    <t xml:space="preserve">Costo ($)</t>
  </si>
  <si>
    <t xml:space="preserve">Costo %</t>
  </si>
  <si>
    <t xml:space="preserve">Objetivo %</t>
  </si>
  <si>
    <t xml:space="preserve">Ganancia bruta ($)</t>
  </si>
  <si>
    <t xml:space="preserve">Precio para objetivo ($, redondeo 0.50)</t>
  </si>
  <si>
    <t xml:space="preserve">Estado</t>
  </si>
  <si>
    <t xml:space="preserve">Chicharroncitos del burro</t>
  </si>
  <si>
    <t xml:space="preserve">Pork cracklings</t>
  </si>
  <si>
    <t xml:space="preserve">Entradas</t>
  </si>
  <si>
    <t xml:space="preserve">Mini sliders Angus (3 unid)</t>
  </si>
  <si>
    <t xml:space="preserve">Angus sliders (3)</t>
  </si>
  <si>
    <t xml:space="preserve">Nachos de carne</t>
  </si>
  <si>
    <t xml:space="preserve">Beef nachos</t>
  </si>
  <si>
    <t xml:space="preserve">Nachos de pollo</t>
  </si>
  <si>
    <t xml:space="preserve">Chicken nachos</t>
  </si>
  <si>
    <t xml:space="preserve">Salchichas estilo alemán (2 unid)</t>
  </si>
  <si>
    <t xml:space="preserve">German sausages (2)</t>
  </si>
  <si>
    <t xml:space="preserve">Arañitas</t>
  </si>
  <si>
    <t xml:space="preserve">Plantain arañitas</t>
  </si>
  <si>
    <t xml:space="preserve">Jalapeño poppers</t>
  </si>
  <si>
    <t xml:space="preserve">Empanada de maíz (4 unid)</t>
  </si>
  <si>
    <t xml:space="preserve">Corn empanadas (4)</t>
  </si>
  <si>
    <t xml:space="preserve">Hummus</t>
  </si>
  <si>
    <t xml:space="preserve">Buffalo wings (8 unid)</t>
  </si>
  <si>
    <t xml:space="preserve">Buffalo wings (8)</t>
  </si>
  <si>
    <t xml:space="preserve">Ceviche de langostino</t>
  </si>
  <si>
    <t xml:space="preserve">Prawn ceviche</t>
  </si>
  <si>
    <t xml:space="preserve">Almejas borrachas</t>
  </si>
  <si>
    <t xml:space="preserve">Drunken clams</t>
  </si>
  <si>
    <t xml:space="preserve">Boneless de pollo</t>
  </si>
  <si>
    <t xml:space="preserve">Boneless wings</t>
  </si>
  <si>
    <t xml:space="preserve">Pollo al carbón</t>
  </si>
  <si>
    <t xml:space="preserve">Charcoal chicken</t>
  </si>
  <si>
    <t xml:space="preserve">Carnes, aves y pescados</t>
  </si>
  <si>
    <t xml:space="preserve">Hamburguesa New York Dely</t>
  </si>
  <si>
    <t xml:space="preserve">New York Dely burger</t>
  </si>
  <si>
    <t xml:space="preserve">Picada Argentina (2–3 personas)</t>
  </si>
  <si>
    <t xml:space="preserve">Argentine grill platter (2–3)</t>
  </si>
  <si>
    <t xml:space="preserve">Rib-eye al carbón</t>
  </si>
  <si>
    <t xml:space="preserve">Charcoal rib eye</t>
  </si>
  <si>
    <t xml:space="preserve">Entraña al carbón</t>
  </si>
  <si>
    <t xml:space="preserve">Charcoal skirt steak</t>
  </si>
  <si>
    <t xml:space="preserve">Salmón a la parrilla</t>
  </si>
  <si>
    <t xml:space="preserve">Grilled salmon</t>
  </si>
  <si>
    <t xml:space="preserve">Mini hamburguesa Quinta Pata (kids)</t>
  </si>
  <si>
    <t xml:space="preserve">Kids burger</t>
  </si>
  <si>
    <t xml:space="preserve">Menú kids</t>
  </si>
  <si>
    <t xml:space="preserve">Boneless de pollo (kids)</t>
  </si>
  <si>
    <t xml:space="preserve">Kids boneless</t>
  </si>
  <si>
    <t xml:space="preserve">Pasta marinera o al olio (kids)</t>
  </si>
  <si>
    <t xml:space="preserve">Kids pasta</t>
  </si>
  <si>
    <t xml:space="preserve">Papitas fritas</t>
  </si>
  <si>
    <t xml:space="preserve">French fries</t>
  </si>
  <si>
    <t xml:space="preserve">Acompañamientos</t>
  </si>
  <si>
    <t xml:space="preserve">Patacón pisao</t>
  </si>
  <si>
    <t xml:space="preserve">Patacones</t>
  </si>
  <si>
    <t xml:space="preserve">Yuca frita</t>
  </si>
  <si>
    <t xml:space="preserve">Fried cassava</t>
  </si>
  <si>
    <t xml:space="preserve">Vegetales salteados</t>
  </si>
  <si>
    <t xml:space="preserve">Sautéed vegetables</t>
  </si>
  <si>
    <t xml:space="preserve">Totopos</t>
  </si>
  <si>
    <t xml:space="preserve">Tortilla chips</t>
  </si>
  <si>
    <t xml:space="preserve">Promedio por sección · Average by section</t>
  </si>
  <si>
    <t xml:space="preserve">Section (EN)</t>
  </si>
  <si>
    <t xml:space="preserve">Costo prom. ($)</t>
  </si>
  <si>
    <t xml:space="preserve">Costo % prom.</t>
  </si>
  <si>
    <t xml:space="preserve">Ganancia prom. ($)</t>
  </si>
  <si>
    <t xml:space="preserve">Starters</t>
  </si>
  <si>
    <t xml:space="preserve">Mains</t>
  </si>
  <si>
    <t xml:space="preserve">Kids menu</t>
  </si>
  <si>
    <t xml:space="preserve">Sides</t>
  </si>
  <si>
    <t xml:space="preserve">Estados: OK · Reajustar precio / porción = over target · Margen alto = well under target (confirmar receta)</t>
  </si>
  <si>
    <t xml:space="preserve">Fichas técnicas de cocina — porción, receta y preparación</t>
  </si>
  <si>
    <t xml:space="preserve">Kitchen spec cards. La receta refleja Especificaciones; si cambia cantidades allá, actualice aquí.</t>
  </si>
  <si>
    <t xml:space="preserve">Porción</t>
  </si>
  <si>
    <t xml:space="preserve">Receta</t>
  </si>
  <si>
    <t xml:space="preserve">Preparación</t>
  </si>
  <si>
    <t xml:space="preserve">0.6 lb de panza (crudo) + 3 oz guacamole</t>
  </si>
  <si>
    <t xml:space="preserve">0.6 lb Panza de cerdo
3 oz Guacamole
1 × Aceite de freír (porción)
1 × Sazón de la casa (porción)
1 × Condimentos y varios (por plato)</t>
  </si>
  <si>
    <t xml:space="preserve">Cocinar la panza en agua con sal, secar, freír en cubos hasta crocante, sazonar.</t>
  </si>
  <si>
    <t xml:space="preserve">3 × 2.7 oz de carne</t>
  </si>
  <si>
    <t xml:space="preserve">0.5 lb Carne molida Angus
3 × Mini pan de slider
3 × Queso en lámina (prensado)
1 × Condimentos y varios (por plato)</t>
  </si>
  <si>
    <t xml:space="preserve">Formar 3 bolitas, smash en plancha, queso al voltear, armar en pan tostado.</t>
  </si>
  <si>
    <t xml:space="preserve">8 tortillas + 5 oz carne + queso, pico y guacamole</t>
  </si>
  <si>
    <t xml:space="preserve">8 × Tortilla de maíz
1 × Aceite de freír (porción)
0.3 lb Carne molida de res
3 oz Queso cheddar rallado
3 oz Pico de gallo
3 oz Guacamole</t>
  </si>
  <si>
    <t xml:space="preserve">Freír/hornear totopos de la casa, cubrir con carne y queso, gratinar, terminar con pico y guacamole.</t>
  </si>
  <si>
    <t xml:space="preserve">8 tortillas + 5 oz pollo + queso, pico y guacamole</t>
  </si>
  <si>
    <t xml:space="preserve">8 × Tortilla de maíz
1 × Aceite de freír (porción)
0.35 lb Pechuga de pollo
3 oz Queso cheddar rallado
3 oz Pico de gallo
3 oz Guacamole</t>
  </si>
  <si>
    <t xml:space="preserve">Igual que nachos de carne, con pollo desmechado sazonado.</t>
  </si>
  <si>
    <t xml:space="preserve">2 salchichas + 2 oz chucrut</t>
  </si>
  <si>
    <t xml:space="preserve">2 × Salchicha alemana
2 oz Chucrut
1 × Condimentos y varios (por plato)</t>
  </si>
  <si>
    <t xml:space="preserve">Dorar en plancha, servir con chucrut caliente y mostaza.</t>
  </si>
  <si>
    <t xml:space="preserve">2 plátanos rallados</t>
  </si>
  <si>
    <t xml:space="preserve">2 × Plátano verde
1 × Aceite de freír (porción)
1 × Sazón de la casa (porción)
1 × Condimentos y varios (por plato)</t>
  </si>
  <si>
    <t xml:space="preserve">Rallar plátano verde grueso, formar nidos, freír hasta dorar. CONFIRMAR RECETA REAL (¿lleva proteína?).</t>
  </si>
  <si>
    <t xml:space="preserve">6 unidades</t>
  </si>
  <si>
    <t xml:space="preserve">6 × Jalapeño
3 oz Queso crema
2 oz Empanizado
1 × Aceite de freír (porción)
1 × Condimentos y varios (por plato)</t>
  </si>
  <si>
    <t xml:space="preserve">Rellenar jalapeños con queso crema, empanizar y freír.</t>
  </si>
  <si>
    <t xml:space="preserve">4 unidades, 1.5 oz de carne mechada c/u</t>
  </si>
  <si>
    <t xml:space="preserve">8 oz Masa de maíz
6 oz Carne mechada
1 × Aceite de freír (porción)</t>
  </si>
  <si>
    <t xml:space="preserve">Formar con masa, rellenar con carne mechada, freír.</t>
  </si>
  <si>
    <t xml:space="preserve">6 oz hummus + 2 tortillas</t>
  </si>
  <si>
    <t xml:space="preserve">6 oz Hummus
2 × Tortilla de harina
0.5 oz Aceite de oliva</t>
  </si>
  <si>
    <t xml:space="preserve">Servir con aceite de oliva y tortilla tostada en triángulos.</t>
  </si>
  <si>
    <t xml:space="preserve">8 alitas (~1.25 lb crudo)</t>
  </si>
  <si>
    <t xml:space="preserve">1.25 lb Alitas de pollo
3 oz Salsa buffalo
2 oz Aderezo ranch
1 × Aceite de freír (porción)</t>
  </si>
  <si>
    <t xml:space="preserve">Freír alitas, bañar en salsa buffalo, servir con ranch.</t>
  </si>
  <si>
    <t xml:space="preserve">~3 oz de langostino limpio</t>
  </si>
  <si>
    <t xml:space="preserve">0.35 lb Langostino
4 × Limón
0.1 lb Cebolla
0.2 manojo Cilantro
1 × Condimentos y varios (por plato)</t>
  </si>
  <si>
    <t xml:space="preserve">Curar el langostino limpio en limón con cebolla, cilantro y ají.</t>
  </si>
  <si>
    <t xml:space="preserve">1 lb de almejas + 4 oz salsa</t>
  </si>
  <si>
    <t xml:space="preserve">1 lb Almejas
4 oz Salsa al ajillo con vino blanco
2 × Pan tostado (rebanada)</t>
  </si>
  <si>
    <t xml:space="preserve">Abrir almejas en salsa al ajillo con vino blanco, servir con pan tostado.</t>
  </si>
  <si>
    <t xml:space="preserve">8 oz de pechuga</t>
  </si>
  <si>
    <t xml:space="preserve">0.5 lb Pechuga de pollo
2 oz Empanizado
2 oz Salsa buffalo
2 oz Aderezo ranch
1 × Aceite de freír (porción)</t>
  </si>
  <si>
    <t xml:space="preserve">Cortar, empanizar, freír y bañar en salsa buffalo; servir con ranch.</t>
  </si>
  <si>
    <t xml:space="preserve">1/2 pollo (~1.6 lb) + 1 acompañamiento</t>
  </si>
  <si>
    <t xml:space="preserve">1.6 lb Pollo entero
1 × Sazón de la casa (porción)
1 × Carbón (por plato)
1 × Acompañamiento incluido (promedio)</t>
  </si>
  <si>
    <t xml:space="preserve">Marinar 12 h con sazón de la casa, asar al carbón hasta 74 °C interno.</t>
  </si>
  <si>
    <t xml:space="preserve">8 oz Angus + 1 acompañamiento</t>
  </si>
  <si>
    <t xml:space="preserve">0.5 lb Carne molida Angus
1 × Pan brioche
2 × Queso en lámina (prensado)
2 oz Cebolla caramelizada balsámica
1 × Condimentos y varios (por plato)
1 × Acompañamiento incluido (promedio)</t>
  </si>
  <si>
    <t xml:space="preserve">Carne a la plancha, 2 láminas de queso, cebolla caramelizada balsámica, pan brioche tostado.</t>
  </si>
  <si>
    <t xml:space="preserve">12 oz rib eye + 2 chorizos + 1 lb pollo + 1 acompañamiento</t>
  </si>
  <si>
    <t xml:space="preserve">0.75 lb Rib eye
2 × Chorizo parrillero
1 lb Pollo entero
3 oz Chimichurri
1 × Carbón (por plato)
1 × Acompañamiento incluido (promedio)</t>
  </si>
  <si>
    <t xml:space="preserve">Asar todo al carbón, cortar en tabla, servir con chimichurri.</t>
  </si>
  <si>
    <t xml:space="preserve">12 oz + 1 acompañamiento</t>
  </si>
  <si>
    <t xml:space="preserve">0.75 lb Rib eye
2 oz Chimichurri
1 × Carbón (por plato)
1 × Acompañamiento incluido (promedio)</t>
  </si>
  <si>
    <t xml:space="preserve">Temperar, sal gruesa, carbón al término pedido, reposar 5 min.</t>
  </si>
  <si>
    <t xml:space="preserve">10 oz + 1 acompañamiento</t>
  </si>
  <si>
    <t xml:space="preserve">0.625 lb Entraña
2 oz Chimichurri
1 × Carbón (por plato)
1 × Acompañamiento incluido (promedio)</t>
  </si>
  <si>
    <t xml:space="preserve">Limpiar membrana, carbón fuerte, cortar contra la fibra.</t>
  </si>
  <si>
    <t xml:space="preserve">8 oz + 1 acompañamiento</t>
  </si>
  <si>
    <t xml:space="preserve">0.5 lb Filete de salmón
0.05 lb Mantequilla
1 × Limón
1 × Acompañamiento incluido (promedio)</t>
  </si>
  <si>
    <t xml:space="preserve">Parrilla por el lado de la piel, terminar con mantequilla y limón.</t>
  </si>
  <si>
    <t xml:space="preserve">4 oz de carne + 1 acompañamiento</t>
  </si>
  <si>
    <t xml:space="preserve">0.25 lb Carne molida Angus
1 × Pan de hamburguesa kids
1 × Queso en lámina (prensado)
1 × Acompañamiento incluido (promedio)</t>
  </si>
  <si>
    <t xml:space="preserve">Plancha, 1 lámina de queso, pan kids.</t>
  </si>
  <si>
    <t xml:space="preserve">5 oz de pechuga + 1 acompañamiento</t>
  </si>
  <si>
    <t xml:space="preserve">0.3 lb Pechuga de pollo
1.5 oz Empanizado
1 × Aceite de freír (porción)
1 × Acompañamiento incluido (promedio)</t>
  </si>
  <si>
    <t xml:space="preserve">Empanizar y freír; sin salsa picante, con ranch aparte.</t>
  </si>
  <si>
    <t xml:space="preserve">3 oz pasta seca</t>
  </si>
  <si>
    <t xml:space="preserve">0.2 lb Pasta seca
4 oz Salsa marinera
0.5 oz Queso parmesano</t>
  </si>
  <si>
    <t xml:space="preserve">Cocinar al dente; marinera o aceite de oliva y ajo; parmesano encima.</t>
  </si>
  <si>
    <t xml:space="preserve">6 oz</t>
  </si>
  <si>
    <t xml:space="preserve">0.4 lb Papas fritas congeladas
1 × Aceite de freír (porción)</t>
  </si>
  <si>
    <t xml:space="preserve">Freír de congelado a 175 °C, sal al salir.</t>
  </si>
  <si>
    <t xml:space="preserve">1.5 plátanos (~6 patacones)</t>
  </si>
  <si>
    <t xml:space="preserve">1.5 × Plátano verde
1 × Aceite de freír (porción)</t>
  </si>
  <si>
    <t xml:space="preserve">Freír, pisar, volver a freír, sal.</t>
  </si>
  <si>
    <t xml:space="preserve">6 oz servidos</t>
  </si>
  <si>
    <t xml:space="preserve">0.4 lb Yuca
1 × Aceite de freír (porción)</t>
  </si>
  <si>
    <t xml:space="preserve">Sancochar, cortar en bastones, freír.</t>
  </si>
  <si>
    <t xml:space="preserve">0.4 lb Vegetales mixtos
0.03 lb Mantequilla</t>
  </si>
  <si>
    <t xml:space="preserve">Saltear en mantequilla con sal y pimienta.</t>
  </si>
  <si>
    <t xml:space="preserve">5 tortillas</t>
  </si>
  <si>
    <t xml:space="preserve">5 × Tortilla de maíz
1 × Aceite de freír (porción)</t>
  </si>
  <si>
    <t xml:space="preserve">Cortar en triángulos y freír o hornear, sal.</t>
  </si>
  <si>
    <t xml:space="preserve">Costeo de cocina — Ajustes y leyenda · La Quinta Pata</t>
  </si>
  <si>
    <t xml:space="preserve">Kitchen costing — Settings &amp; legend</t>
  </si>
  <si>
    <t xml:space="preserve">Leyenda · Legend</t>
  </si>
  <si>
    <t xml:space="preserve">Texto azul = dato que usted edita · Blue = input you edit</t>
  </si>
  <si>
    <t xml:space="preserve">Texto negro = fórmula, no sobrescribir · Black = formula, don't overwrite</t>
  </si>
  <si>
    <t xml:space="preserve">Texto verde = viene de otra hoja · Green = pulled from another sheet</t>
  </si>
  <si>
    <t xml:space="preserve">Fondo amarillo = supuesto a verificar (cotización / contador) · Yellow = assumption to verify</t>
  </si>
  <si>
    <t xml:space="preserve">Costo de alimentos solamente: no incluye mano de obra, gas, empaque ni desperdicio de servicio. · Food cost only.</t>
  </si>
  <si>
    <t xml:space="preserve">Impuesto · Tax</t>
  </si>
  <si>
    <t xml:space="preserve">¿Precios del menú incluyen ITBMS? (1 = sí, 0 = no) · Menu prices include ITBMS?</t>
  </si>
  <si>
    <t xml:space="preserve">Tasa ITBMS comida en restaurante · ITBMS rate, restaurant food</t>
  </si>
  <si>
    <t xml:space="preserve">Supuesto — confirme con su contador. · Assumption — confirm with your accountant.</t>
  </si>
  <si>
    <t xml:space="preserve">Costo objetivo por sección · Target food cost by section</t>
  </si>
  <si>
    <t xml:space="preserve">Sección · Section</t>
  </si>
  <si>
    <t xml:space="preserve">Objetivo % · Target %</t>
  </si>
  <si>
    <t xml:space="preserve">Nota · Note</t>
  </si>
  <si>
    <t xml:space="preserve">Mains · Cortes premium corren más alto · Premium cuts run higher</t>
  </si>
  <si>
    <t xml:space="preserve">Kids menu · Puede ser gancho para familias · Can be a family loss-leader</t>
  </si>
  <si>
    <t xml:space="preserve">Acompañamiento incluido · Included side</t>
  </si>
  <si>
    <t xml:space="preserve">Costo promedio de un acompañamiento (se usa en platos con '1 acompañamiento') · Avg side cost</t>
  </si>
  <si>
    <t xml:space="preserve">Promedio de los 5 acompañamientos; cámbielo por un valor fijo si prefiere. · Average of the 5 sides.</t>
  </si>
  <si>
    <t xml:space="preserve">Lista de precios de insumos de cocina — reemplace las celdas amarillas con cotizaciones de su proveedor</t>
  </si>
  <si>
    <t xml:space="preserve">Ingredient list. Rendimiento = % aprovechable después de limpiar/cocinar. Ejemplo: rib eye $11.00/lb con 90% de rendimiento → $12.22 por lb servida. Precios estimados, no cotizaciones.</t>
  </si>
  <si>
    <t xml:space="preserve">Insumo</t>
  </si>
  <si>
    <t xml:space="preserve">Ingredient (EN)</t>
  </si>
  <si>
    <t xml:space="preserve">Categoría</t>
  </si>
  <si>
    <t xml:space="preserve">Presentación de compra</t>
  </si>
  <si>
    <t xml:space="preserve">Unidades por compra</t>
  </si>
  <si>
    <t xml:space="preserve">Unidad</t>
  </si>
  <si>
    <t xml:space="preserve">Costo de compra</t>
  </si>
  <si>
    <t xml:space="preserve">Rendimiento %</t>
  </si>
  <si>
    <t xml:space="preserve">Costo por unidad utilizable</t>
  </si>
  <si>
    <t xml:space="preserve">Panza de cerdo</t>
  </si>
  <si>
    <t xml:space="preserve">Pork belly</t>
  </si>
  <si>
    <t xml:space="preserve">Proteína</t>
  </si>
  <si>
    <t xml:space="preserve">Por libra</t>
  </si>
  <si>
    <t xml:space="preserve">lb</t>
  </si>
  <si>
    <t xml:space="preserve">Carne molida Angus</t>
  </si>
  <si>
    <t xml:space="preserve">Angus ground beef</t>
  </si>
  <si>
    <t xml:space="preserve">Carne molida de res</t>
  </si>
  <si>
    <t xml:space="preserve">Ground beef</t>
  </si>
  <si>
    <t xml:space="preserve">Pechuga de pollo</t>
  </si>
  <si>
    <t xml:space="preserve">Chicken breast</t>
  </si>
  <si>
    <t xml:space="preserve">Pollo entero</t>
  </si>
  <si>
    <t xml:space="preserve">Whole chicken</t>
  </si>
  <si>
    <t xml:space="preserve">Alitas de pollo</t>
  </si>
  <si>
    <t xml:space="preserve">Chicken wings</t>
  </si>
  <si>
    <t xml:space="preserve">Salchicha alemana</t>
  </si>
  <si>
    <t xml:space="preserve">German sausage</t>
  </si>
  <si>
    <t xml:space="preserve">Paquete de 10</t>
  </si>
  <si>
    <t xml:space="preserve">unidad</t>
  </si>
  <si>
    <t xml:space="preserve">Chorizo parrillero</t>
  </si>
  <si>
    <t xml:space="preserve">Grilling chorizo</t>
  </si>
  <si>
    <t xml:space="preserve">Langostino</t>
  </si>
  <si>
    <t xml:space="preserve">Prawns</t>
  </si>
  <si>
    <t xml:space="preserve">Mariscos</t>
  </si>
  <si>
    <t xml:space="preserve">Almejas</t>
  </si>
  <si>
    <t xml:space="preserve">Clams</t>
  </si>
  <si>
    <t xml:space="preserve">Rib eye</t>
  </si>
  <si>
    <t xml:space="preserve">Carne premium</t>
  </si>
  <si>
    <t xml:space="preserve">Entraña</t>
  </si>
  <si>
    <t xml:space="preserve">Skirt steak</t>
  </si>
  <si>
    <t xml:space="preserve">Filete de salmón</t>
  </si>
  <si>
    <t xml:space="preserve">Salmon fillet</t>
  </si>
  <si>
    <t xml:space="preserve">Pan brioche</t>
  </si>
  <si>
    <t xml:space="preserve">Brioche bun</t>
  </si>
  <si>
    <t xml:space="preserve">Panadería</t>
  </si>
  <si>
    <t xml:space="preserve">Paquete de 12</t>
  </si>
  <si>
    <t xml:space="preserve">Mini pan de slider</t>
  </si>
  <si>
    <t xml:space="preserve">Slider bun</t>
  </si>
  <si>
    <t xml:space="preserve">Paquete de 24</t>
  </si>
  <si>
    <t xml:space="preserve">Pan de hamburguesa kids</t>
  </si>
  <si>
    <t xml:space="preserve">Kids bun</t>
  </si>
  <si>
    <t xml:space="preserve">Pan tostado (rebanada)</t>
  </si>
  <si>
    <t xml:space="preserve">Toast slice</t>
  </si>
  <si>
    <t xml:space="preserve">Pan de 20 rebanadas</t>
  </si>
  <si>
    <t xml:space="preserve">Tortilla de maíz</t>
  </si>
  <si>
    <t xml:space="preserve">Corn tortilla</t>
  </si>
  <si>
    <t xml:space="preserve">Paquete de 30</t>
  </si>
  <si>
    <t xml:space="preserve">Tortilla de harina</t>
  </si>
  <si>
    <t xml:space="preserve">Flour tortilla</t>
  </si>
  <si>
    <t xml:space="preserve">Masa de maíz</t>
  </si>
  <si>
    <t xml:space="preserve">Corn masa</t>
  </si>
  <si>
    <t xml:space="preserve">Seco</t>
  </si>
  <si>
    <t xml:space="preserve">Bolsa 5 lb (80 oz)</t>
  </si>
  <si>
    <t xml:space="preserve">oz</t>
  </si>
  <si>
    <t xml:space="preserve">Empanizado</t>
  </si>
  <si>
    <t xml:space="preserve">Breading</t>
  </si>
  <si>
    <t xml:space="preserve">Pasta seca</t>
  </si>
  <si>
    <t xml:space="preserve">Dry pasta</t>
  </si>
  <si>
    <t xml:space="preserve">Paquete 1 lb</t>
  </si>
  <si>
    <t xml:space="preserve">Queso en lámina (prensado)</t>
  </si>
  <si>
    <t xml:space="preserve">Sliced cheese</t>
  </si>
  <si>
    <t xml:space="preserve">Lácteo</t>
  </si>
  <si>
    <t xml:space="preserve">Paquete de 24 láminas</t>
  </si>
  <si>
    <t xml:space="preserve">Queso cheddar rallado</t>
  </si>
  <si>
    <t xml:space="preserve">Shredded cheddar</t>
  </si>
  <si>
    <t xml:space="preserve">Queso crema</t>
  </si>
  <si>
    <t xml:space="preserve">Cream cheese</t>
  </si>
  <si>
    <t xml:space="preserve">Bloque 3 lb (48 oz)</t>
  </si>
  <si>
    <t xml:space="preserve">Queso parmesano</t>
  </si>
  <si>
    <t xml:space="preserve">Parmesan</t>
  </si>
  <si>
    <t xml:space="preserve">Bolsa 1 lb (16 oz)</t>
  </si>
  <si>
    <t xml:space="preserve">Mantequilla</t>
  </si>
  <si>
    <t xml:space="preserve">Butter</t>
  </si>
  <si>
    <t xml:space="preserve">Aderezo ranch</t>
  </si>
  <si>
    <t xml:space="preserve">Ranch dressing</t>
  </si>
  <si>
    <t xml:space="preserve">Salsa</t>
  </si>
  <si>
    <t xml:space="preserve">Galón (128 oz)</t>
  </si>
  <si>
    <t xml:space="preserve">Chucrut</t>
  </si>
  <si>
    <t xml:space="preserve">Sauerkraut</t>
  </si>
  <si>
    <t xml:space="preserve">Frasco 32 oz</t>
  </si>
  <si>
    <t xml:space="preserve">Jalapeño</t>
  </si>
  <si>
    <t xml:space="preserve">Vegetal</t>
  </si>
  <si>
    <t xml:space="preserve">Por unidad</t>
  </si>
  <si>
    <t xml:space="preserve">Plátano verde</t>
  </si>
  <si>
    <t xml:space="preserve">Green plantain</t>
  </si>
  <si>
    <t xml:space="preserve">Yuca</t>
  </si>
  <si>
    <t xml:space="preserve">Cassava</t>
  </si>
  <si>
    <t xml:space="preserve">Papas fritas congeladas</t>
  </si>
  <si>
    <t xml:space="preserve">Frozen fries</t>
  </si>
  <si>
    <t xml:space="preserve">Bolsa 5 lb</t>
  </si>
  <si>
    <t xml:space="preserve">Vegetales mixtos</t>
  </si>
  <si>
    <t xml:space="preserve">Mixed vegetables</t>
  </si>
  <si>
    <t xml:space="preserve">Limón</t>
  </si>
  <si>
    <t xml:space="preserve">Lime</t>
  </si>
  <si>
    <t xml:space="preserve">Cebolla</t>
  </si>
  <si>
    <t xml:space="preserve">Onion</t>
  </si>
  <si>
    <t xml:space="preserve">Cilantro</t>
  </si>
  <si>
    <t xml:space="preserve">Manojo</t>
  </si>
  <si>
    <t xml:space="preserve">manojo</t>
  </si>
  <si>
    <t xml:space="preserve">Aceite de oliva</t>
  </si>
  <si>
    <t xml:space="preserve">Olive oil</t>
  </si>
  <si>
    <t xml:space="preserve">Botella 1 L (33.8 oz)</t>
  </si>
  <si>
    <t xml:space="preserve">Aceite de freír (porción)</t>
  </si>
  <si>
    <t xml:space="preserve">Frying oil (per portion)</t>
  </si>
  <si>
    <t xml:space="preserve">Por porción frita</t>
  </si>
  <si>
    <t xml:space="preserve">Sazón de la casa (porción)</t>
  </si>
  <si>
    <t xml:space="preserve">House seasoning (per portion)</t>
  </si>
  <si>
    <t xml:space="preserve">Por porción</t>
  </si>
  <si>
    <t xml:space="preserve">Carbón (por plato)</t>
  </si>
  <si>
    <t xml:space="preserve">Charcoal (per plate)</t>
  </si>
  <si>
    <t xml:space="preserve">Operación</t>
  </si>
  <si>
    <t xml:space="preserve">Por plato a la brasa</t>
  </si>
  <si>
    <t xml:space="preserve">Condimentos y varios (por plato)</t>
  </si>
  <si>
    <t xml:space="preserve">Condiments &amp; misc (per plate)</t>
  </si>
  <si>
    <t xml:space="preserve">Lechuga, tomate, salsas de mesa, sal</t>
  </si>
  <si>
    <t xml:space="preserve">Guacamole</t>
  </si>
  <si>
    <t xml:space="preserve">Preparación de la casa</t>
  </si>
  <si>
    <t xml:space="preserve">Ver hoja Preparaciones</t>
  </si>
  <si>
    <t xml:space="preserve">Pico de gallo</t>
  </si>
  <si>
    <t xml:space="preserve">Cebolla caramelizada balsámica</t>
  </si>
  <si>
    <t xml:space="preserve">Balsamic caramelized onion</t>
  </si>
  <si>
    <t xml:space="preserve">Salsa buffalo</t>
  </si>
  <si>
    <t xml:space="preserve">Buffalo sauce</t>
  </si>
  <si>
    <t xml:space="preserve">Salsa al ajillo con vino blanco</t>
  </si>
  <si>
    <t xml:space="preserve">Garlic white-wine sauce</t>
  </si>
  <si>
    <t xml:space="preserve">Carne mechada</t>
  </si>
  <si>
    <t xml:space="preserve">Shredded beef</t>
  </si>
  <si>
    <t xml:space="preserve">Chimichurri</t>
  </si>
  <si>
    <t xml:space="preserve">Salsa marinera</t>
  </si>
  <si>
    <t xml:space="preserve">Marinara sauce</t>
  </si>
  <si>
    <t xml:space="preserve">Acompañamiento incluido (promedio)</t>
  </si>
  <si>
    <t xml:space="preserve">Included side (average)</t>
  </si>
  <si>
    <t xml:space="preserve">Acompañamiento</t>
  </si>
  <si>
    <t xml:space="preserve">Ver Ajustes B23</t>
  </si>
  <si>
    <t xml:space="preserve">Preparaciones base de cocina — costo por oz alimenta Insumos</t>
  </si>
  <si>
    <t xml:space="preserve">Kitchen base preps — cost per oz feeds Insumos</t>
  </si>
  <si>
    <t xml:space="preserve">Preparación · Prep</t>
  </si>
  <si>
    <t xml:space="preserve">Ingrediente</t>
  </si>
  <si>
    <t xml:space="preserve">Cant. · Qty</t>
  </si>
  <si>
    <t xml:space="preserve">Costo / unidad</t>
  </si>
  <si>
    <t xml:space="preserve">Costo línea</t>
  </si>
  <si>
    <t xml:space="preserve">Método y vida útil · Method &amp; shelf life</t>
  </si>
  <si>
    <t xml:space="preserve">Aguacate</t>
  </si>
  <si>
    <t xml:space="preserve">Majar aguacate, mezclar con picados, sal y limón. Usar el mismo día; cubrir con film en contacto.</t>
  </si>
  <si>
    <t xml:space="preserve">Tomate</t>
  </si>
  <si>
    <t xml:space="preserve">Costo de la preparación · Batch cost</t>
  </si>
  <si>
    <t xml:space="preserve">Rendimiento (oz) · Yield</t>
  </si>
  <si>
    <t xml:space="preserve">Estimado — pese su primera tanda y actualice. · Estimate — weigh first batch.</t>
  </si>
  <si>
    <t xml:space="preserve">Costo por oz · Cost per oz</t>
  </si>
  <si>
    <t xml:space="preserve">Picar en cubos pequeños, sazonar con sal y limón. 2 días refrigerado.</t>
  </si>
  <si>
    <t xml:space="preserve">Cocinar cebolla en mantequilla a fuego bajo 40 min, reducir con balsámico. 5 días refrigerado.</t>
  </si>
  <si>
    <t xml:space="preserve">Vinagre balsámico</t>
  </si>
  <si>
    <t xml:space="preserve">Azúcar morena</t>
  </si>
  <si>
    <t xml:space="preserve">Salsa picante tipo cayena</t>
  </si>
  <si>
    <t xml:space="preserve">Emulsionar salsa picante con mantequilla derretida. 7 días refrigerado; recalentar suave.</t>
  </si>
  <si>
    <t xml:space="preserve">Ajo</t>
  </si>
  <si>
    <t xml:space="preserve">Sofreír ajo en mantequilla, desglasar con vino, reducir a la mitad, perejil al final. 3 días.</t>
  </si>
  <si>
    <t xml:space="preserve">Vino blanco de cocina</t>
  </si>
  <si>
    <t xml:space="preserve">Perejil</t>
  </si>
  <si>
    <t xml:space="preserve">Falda de res</t>
  </si>
  <si>
    <t xml:space="preserve">Cocinar la falda a presión 45 min, deshilachar y guisar con sofrito. 4 días refrigerado.</t>
  </si>
  <si>
    <t xml:space="preserve">Pimentón</t>
  </si>
  <si>
    <t xml:space="preserve">Garbanzo seco</t>
  </si>
  <si>
    <t xml:space="preserve">Remojar garbanzo 12 h, cocinar, procesar con el resto. 5 días refrigerado.</t>
  </si>
  <si>
    <t xml:space="preserve">Tahini</t>
  </si>
  <si>
    <t xml:space="preserve">Picar fino, mezclar y reposar mínimo 2 h. 7 días refrigerado.</t>
  </si>
  <si>
    <t xml:space="preserve">Orégano seco</t>
  </si>
  <si>
    <t xml:space="preserve">Aceite vegetal</t>
  </si>
  <si>
    <t xml:space="preserve">Vinagre de vino</t>
  </si>
  <si>
    <t xml:space="preserve">Tomate triturado (lata 28 oz)</t>
  </si>
  <si>
    <t xml:space="preserve">Sofreír ajo y cebolla, añadir tomate, cocinar 30 min. 5 días refrigerado.</t>
  </si>
  <si>
    <t xml:space="preserve">Líneas de receta — una fila por ingrediente (alimenta todos los costos)</t>
  </si>
  <si>
    <t xml:space="preserve">Recipe lines — one row per ingredient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</si>
</sst>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%;\(0.0%\);\-"/>
    <numFmt numFmtId="167" formatCode="0%"/>
    <numFmt numFmtId="168" formatCode="\$#,##0.000;&quot;($&quot;#,##0.0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181A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4CC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518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false" outlineLevel="0" collapsed="false">
      <c r="A5" s="2" t="s">
        <v>13</v>
      </c>
      <c r="B5" s="3" t="s">
        <v>14</v>
      </c>
      <c r="C5" s="2" t="s">
        <v>15</v>
      </c>
      <c r="D5" s="5" t="n">
        <v>13</v>
      </c>
      <c r="E5" s="6" t="n">
        <f aca="false">IF(Ajustes!$B$12=1,D5/(1+Ajustes!$B$13),D5)</f>
        <v>12.1495327102804</v>
      </c>
      <c r="F5" s="6" t="n">
        <f aca="false">SUMIF(Especificaciones!$A$5:$A$109,A5,Especificaciones!$G$5:$G$109)</f>
        <v>4.85625</v>
      </c>
      <c r="G5" s="7" t="n">
        <f aca="false">IFERROR(F5/E5,0)</f>
        <v>0.399706730769231</v>
      </c>
      <c r="H5" s="8" t="n">
        <f aca="false">IFERROR(INDEX(Ajustes!$B$17:$B$20,MATCH(C5,Ajustes!$A$17:$A$20,0)),0.3)</f>
        <v>0.28</v>
      </c>
      <c r="I5" s="9" t="n">
        <f aca="false">E5-F5</f>
        <v>7.29328271028037</v>
      </c>
      <c r="J5" s="9" t="n">
        <f aca="false">IFERROR(CEILING(F5/H5*IF(Ajustes!$B$12=1,1+Ajustes!$B$13,1),0.5),0)</f>
        <v>19</v>
      </c>
      <c r="K5" s="2" t="str">
        <f aca="false">IF(G5&gt;H5+0.03,"Reajustar precio / porción",IF(G5&lt;H5-0.1,"Margen alto","OK"))</f>
        <v>Reajustar precio / porción</v>
      </c>
    </row>
    <row r="6" customFormat="false" ht="15" hidden="false" customHeight="false" outlineLevel="0" collapsed="false">
      <c r="A6" s="2" t="s">
        <v>16</v>
      </c>
      <c r="B6" s="3" t="s">
        <v>17</v>
      </c>
      <c r="C6" s="2" t="s">
        <v>15</v>
      </c>
      <c r="D6" s="5" t="n">
        <v>10</v>
      </c>
      <c r="E6" s="6" t="n">
        <f aca="false">IF(Ajustes!$B$12=1,D6/(1+Ajustes!$B$13),D6)</f>
        <v>9.34579439252337</v>
      </c>
      <c r="F6" s="6" t="n">
        <f aca="false">SUMIF(Especificaciones!$A$5:$A$109,A6,Especificaciones!$G$5:$G$109)</f>
        <v>4.49117647058824</v>
      </c>
      <c r="G6" s="7" t="n">
        <f aca="false">IFERROR(F6/E6,0)</f>
        <v>0.480555882352941</v>
      </c>
      <c r="H6" s="8" t="n">
        <f aca="false">IFERROR(INDEX(Ajustes!$B$17:$B$20,MATCH(C6,Ajustes!$A$17:$A$20,0)),0.3)</f>
        <v>0.28</v>
      </c>
      <c r="I6" s="9" t="n">
        <f aca="false">E6-F6</f>
        <v>4.85461792193513</v>
      </c>
      <c r="J6" s="9" t="n">
        <f aca="false">IFERROR(CEILING(F6/H6*IF(Ajustes!$B$12=1,1+Ajustes!$B$13,1),0.5),0)</f>
        <v>17.5</v>
      </c>
      <c r="K6" s="2" t="str">
        <f aca="false">IF(G6&gt;H6+0.03,"Reajustar precio / porción",IF(G6&lt;H6-0.1,"Margen alto","OK"))</f>
        <v>Reajustar precio / porción</v>
      </c>
    </row>
    <row r="7" customFormat="false" ht="15" hidden="false" customHeight="false" outlineLevel="0" collapsed="false">
      <c r="A7" s="2" t="s">
        <v>18</v>
      </c>
      <c r="B7" s="3" t="s">
        <v>19</v>
      </c>
      <c r="C7" s="2" t="s">
        <v>15</v>
      </c>
      <c r="D7" s="5" t="n">
        <v>15</v>
      </c>
      <c r="E7" s="6" t="n">
        <f aca="false">IF(Ajustes!$B$12=1,D7/(1+Ajustes!$B$13),D7)</f>
        <v>14.018691588785</v>
      </c>
      <c r="F7" s="6" t="n">
        <f aca="false">SUMIF(Especificaciones!$A$5:$A$109,A7,Especificaciones!$G$5:$G$109)</f>
        <v>4.45125</v>
      </c>
      <c r="G7" s="7" t="n">
        <f aca="false">IFERROR(F7/E7,0)</f>
        <v>0.3175225</v>
      </c>
      <c r="H7" s="8" t="n">
        <f aca="false">IFERROR(INDEX(Ajustes!$B$17:$B$20,MATCH(C7,Ajustes!$A$17:$A$20,0)),0.3)</f>
        <v>0.28</v>
      </c>
      <c r="I7" s="9" t="n">
        <f aca="false">E7-F7</f>
        <v>9.56744158878505</v>
      </c>
      <c r="J7" s="9" t="n">
        <f aca="false">IFERROR(CEILING(F7/H7*IF(Ajustes!$B$12=1,1+Ajustes!$B$13,1),0.5),0)</f>
        <v>17.5</v>
      </c>
      <c r="K7" s="2" t="str">
        <f aca="false">IF(G7&gt;H7+0.03,"Reajustar precio / porción",IF(G7&lt;H7-0.1,"Margen alto","OK"))</f>
        <v>Reajustar precio / porción</v>
      </c>
    </row>
    <row r="8" customFormat="false" ht="15" hidden="false" customHeight="false" outlineLevel="0" collapsed="false">
      <c r="A8" s="2" t="s">
        <v>20</v>
      </c>
      <c r="B8" s="3" t="s">
        <v>21</v>
      </c>
      <c r="C8" s="2" t="s">
        <v>15</v>
      </c>
      <c r="D8" s="5" t="n">
        <v>15</v>
      </c>
      <c r="E8" s="6" t="n">
        <f aca="false">IF(Ajustes!$B$12=1,D8/(1+Ajustes!$B$13),D8)</f>
        <v>14.018691588785</v>
      </c>
      <c r="F8" s="6" t="n">
        <f aca="false">SUMIF(Especificaciones!$A$5:$A$109,A8,Especificaciones!$G$5:$G$109)</f>
        <v>3.93041666666667</v>
      </c>
      <c r="G8" s="7" t="n">
        <f aca="false">IFERROR(F8/E8,0)</f>
        <v>0.280369722222222</v>
      </c>
      <c r="H8" s="8" t="n">
        <f aca="false">IFERROR(INDEX(Ajustes!$B$17:$B$20,MATCH(C8,Ajustes!$A$17:$A$20,0)),0.3)</f>
        <v>0.28</v>
      </c>
      <c r="I8" s="9" t="n">
        <f aca="false">E8-F8</f>
        <v>10.0882749221184</v>
      </c>
      <c r="J8" s="9" t="n">
        <f aca="false">IFERROR(CEILING(F8/H8*IF(Ajustes!$B$12=1,1+Ajustes!$B$13,1),0.5),0)</f>
        <v>15.5</v>
      </c>
      <c r="K8" s="2" t="str">
        <f aca="false">IF(G8&gt;H8+0.03,"Reajustar precio / porción",IF(G8&lt;H8-0.1,"Margen alto","OK"))</f>
        <v>OK</v>
      </c>
    </row>
    <row r="9" customFormat="false" ht="15" hidden="false" customHeight="false" outlineLevel="0" collapsed="false">
      <c r="A9" s="2" t="s">
        <v>22</v>
      </c>
      <c r="B9" s="3" t="s">
        <v>23</v>
      </c>
      <c r="C9" s="2" t="s">
        <v>15</v>
      </c>
      <c r="D9" s="5" t="n">
        <v>9.5</v>
      </c>
      <c r="E9" s="6" t="n">
        <f aca="false">IF(Ajustes!$B$12=1,D9/(1+Ajustes!$B$13),D9)</f>
        <v>8.8785046728972</v>
      </c>
      <c r="F9" s="6" t="n">
        <f aca="false">SUMIF(Especificaciones!$A$5:$A$109,A9,Especificaciones!$G$5:$G$109)</f>
        <v>3</v>
      </c>
      <c r="G9" s="7" t="n">
        <f aca="false">IFERROR(F9/E9,0)</f>
        <v>0.337894736842105</v>
      </c>
      <c r="H9" s="8" t="n">
        <f aca="false">IFERROR(INDEX(Ajustes!$B$17:$B$20,MATCH(C9,Ajustes!$A$17:$A$20,0)),0.3)</f>
        <v>0.28</v>
      </c>
      <c r="I9" s="9" t="n">
        <f aca="false">E9-F9</f>
        <v>5.8785046728972</v>
      </c>
      <c r="J9" s="9" t="n">
        <f aca="false">IFERROR(CEILING(F9/H9*IF(Ajustes!$B$12=1,1+Ajustes!$B$13,1),0.5),0)</f>
        <v>11.5</v>
      </c>
      <c r="K9" s="2" t="str">
        <f aca="false">IF(G9&gt;H9+0.03,"Reajustar precio / porción",IF(G9&lt;H9-0.1,"Margen alto","OK"))</f>
        <v>Reajustar precio / porción</v>
      </c>
    </row>
    <row r="10" customFormat="false" ht="15" hidden="false" customHeight="false" outlineLevel="0" collapsed="false">
      <c r="A10" s="2" t="s">
        <v>24</v>
      </c>
      <c r="B10" s="3" t="s">
        <v>25</v>
      </c>
      <c r="C10" s="2" t="s">
        <v>15</v>
      </c>
      <c r="D10" s="5" t="n">
        <v>10</v>
      </c>
      <c r="E10" s="6" t="n">
        <f aca="false">IF(Ajustes!$B$12=1,D10/(1+Ajustes!$B$13),D10)</f>
        <v>9.34579439252337</v>
      </c>
      <c r="F10" s="6" t="n">
        <f aca="false">SUMIF(Especificaciones!$A$5:$A$109,A10,Especificaciones!$G$5:$G$109)</f>
        <v>1.4</v>
      </c>
      <c r="G10" s="7" t="n">
        <f aca="false">IFERROR(F10/E10,0)</f>
        <v>0.1498</v>
      </c>
      <c r="H10" s="8" t="n">
        <f aca="false">IFERROR(INDEX(Ajustes!$B$17:$B$20,MATCH(C10,Ajustes!$A$17:$A$20,0)),0.3)</f>
        <v>0.28</v>
      </c>
      <c r="I10" s="9" t="n">
        <f aca="false">E10-F10</f>
        <v>7.94579439252336</v>
      </c>
      <c r="J10" s="9" t="n">
        <f aca="false">IFERROR(CEILING(F10/H10*IF(Ajustes!$B$12=1,1+Ajustes!$B$13,1),0.5),0)</f>
        <v>5.5</v>
      </c>
      <c r="K10" s="2" t="str">
        <f aca="false">IF(G10&gt;H10+0.03,"Reajustar precio / porción",IF(G10&lt;H10-0.1,"Margen alto","OK"))</f>
        <v>Margen alto</v>
      </c>
    </row>
    <row r="11" customFormat="false" ht="15" hidden="false" customHeight="false" outlineLevel="0" collapsed="false">
      <c r="A11" s="2" t="s">
        <v>26</v>
      </c>
      <c r="B11" s="3" t="s">
        <v>26</v>
      </c>
      <c r="C11" s="2" t="s">
        <v>15</v>
      </c>
      <c r="D11" s="5" t="n">
        <v>7</v>
      </c>
      <c r="E11" s="6" t="n">
        <f aca="false">IF(Ajustes!$B$12=1,D11/(1+Ajustes!$B$13),D11)</f>
        <v>6.54205607476635</v>
      </c>
      <c r="F11" s="6" t="n">
        <f aca="false">SUMIF(Especificaciones!$A$5:$A$109,A11,Especificaciones!$G$5:$G$109)</f>
        <v>1.775</v>
      </c>
      <c r="G11" s="7" t="n">
        <f aca="false">IFERROR(F11/E11,0)</f>
        <v>0.271321428571429</v>
      </c>
      <c r="H11" s="8" t="n">
        <f aca="false">IFERROR(INDEX(Ajustes!$B$17:$B$20,MATCH(C11,Ajustes!$A$17:$A$20,0)),0.3)</f>
        <v>0.28</v>
      </c>
      <c r="I11" s="9" t="n">
        <f aca="false">E11-F11</f>
        <v>4.76705607476635</v>
      </c>
      <c r="J11" s="9" t="n">
        <f aca="false">IFERROR(CEILING(F11/H11*IF(Ajustes!$B$12=1,1+Ajustes!$B$13,1),0.5),0)</f>
        <v>7</v>
      </c>
      <c r="K11" s="2" t="str">
        <f aca="false">IF(G11&gt;H11+0.03,"Reajustar precio / porción",IF(G11&lt;H11-0.1,"Margen alto","OK"))</f>
        <v>OK</v>
      </c>
    </row>
    <row r="12" customFormat="false" ht="15" hidden="false" customHeight="false" outlineLevel="0" collapsed="false">
      <c r="A12" s="2" t="s">
        <v>27</v>
      </c>
      <c r="B12" s="3" t="s">
        <v>28</v>
      </c>
      <c r="C12" s="2" t="s">
        <v>15</v>
      </c>
      <c r="D12" s="5" t="n">
        <v>7</v>
      </c>
      <c r="E12" s="6" t="n">
        <f aca="false">IF(Ajustes!$B$12=1,D12/(1+Ajustes!$B$13),D12)</f>
        <v>6.54205607476635</v>
      </c>
      <c r="F12" s="6" t="n">
        <f aca="false">SUMIF(Especificaciones!$A$5:$A$109,A12,Especificaciones!$G$5:$G$109)</f>
        <v>3.0265625</v>
      </c>
      <c r="G12" s="7" t="n">
        <f aca="false">IFERROR(F12/E12,0)</f>
        <v>0.462631696428572</v>
      </c>
      <c r="H12" s="8" t="n">
        <f aca="false">IFERROR(INDEX(Ajustes!$B$17:$B$20,MATCH(C12,Ajustes!$A$17:$A$20,0)),0.3)</f>
        <v>0.28</v>
      </c>
      <c r="I12" s="9" t="n">
        <f aca="false">E12-F12</f>
        <v>3.51549357476635</v>
      </c>
      <c r="J12" s="9" t="n">
        <f aca="false">IFERROR(CEILING(F12/H12*IF(Ajustes!$B$12=1,1+Ajustes!$B$13,1),0.5),0)</f>
        <v>12</v>
      </c>
      <c r="K12" s="2" t="str">
        <f aca="false">IF(G12&gt;H12+0.03,"Reajustar precio / porción",IF(G12&lt;H12-0.1,"Margen alto","OK"))</f>
        <v>Reajustar precio / porción</v>
      </c>
    </row>
    <row r="13" customFormat="false" ht="15" hidden="false" customHeight="false" outlineLevel="0" collapsed="false">
      <c r="A13" s="2" t="s">
        <v>29</v>
      </c>
      <c r="B13" s="3" t="s">
        <v>29</v>
      </c>
      <c r="C13" s="2" t="s">
        <v>15</v>
      </c>
      <c r="D13" s="5" t="n">
        <v>8</v>
      </c>
      <c r="E13" s="6" t="n">
        <f aca="false">IF(Ajustes!$B$12=1,D13/(1+Ajustes!$B$13),D13)</f>
        <v>7.47663551401869</v>
      </c>
      <c r="F13" s="6" t="n">
        <f aca="false">SUMIF(Especificaciones!$A$5:$A$109,A13,Especificaciones!$G$5:$G$109)</f>
        <v>1.75720414201183</v>
      </c>
      <c r="G13" s="7" t="n">
        <f aca="false">IFERROR(F13/E13,0)</f>
        <v>0.235026053994083</v>
      </c>
      <c r="H13" s="8" t="n">
        <f aca="false">IFERROR(INDEX(Ajustes!$B$17:$B$20,MATCH(C13,Ajustes!$A$17:$A$20,0)),0.3)</f>
        <v>0.28</v>
      </c>
      <c r="I13" s="9" t="n">
        <f aca="false">E13-F13</f>
        <v>5.71943137200686</v>
      </c>
      <c r="J13" s="9" t="n">
        <f aca="false">IFERROR(CEILING(F13/H13*IF(Ajustes!$B$12=1,1+Ajustes!$B$13,1),0.5),0)</f>
        <v>7</v>
      </c>
      <c r="K13" s="2" t="str">
        <f aca="false">IF(G13&gt;H13+0.03,"Reajustar precio / porción",IF(G13&lt;H13-0.1,"Margen alto","OK"))</f>
        <v>OK</v>
      </c>
    </row>
    <row r="14" customFormat="false" ht="15" hidden="false" customHeight="false" outlineLevel="0" collapsed="false">
      <c r="A14" s="2" t="s">
        <v>30</v>
      </c>
      <c r="B14" s="3" t="s">
        <v>31</v>
      </c>
      <c r="C14" s="2" t="s">
        <v>15</v>
      </c>
      <c r="D14" s="5" t="n">
        <v>8.5</v>
      </c>
      <c r="E14" s="6" t="n">
        <f aca="false">IF(Ajustes!$B$12=1,D14/(1+Ajustes!$B$13),D14)</f>
        <v>7.94392523364486</v>
      </c>
      <c r="F14" s="6" t="n">
        <f aca="false">SUMIF(Especificaciones!$A$5:$A$109,A14,Especificaciones!$G$5:$G$109)</f>
        <v>3.98506578947368</v>
      </c>
      <c r="G14" s="7" t="n">
        <f aca="false">IFERROR(F14/E14,0)</f>
        <v>0.501649458204334</v>
      </c>
      <c r="H14" s="8" t="n">
        <f aca="false">IFERROR(INDEX(Ajustes!$B$17:$B$20,MATCH(C14,Ajustes!$A$17:$A$20,0)),0.3)</f>
        <v>0.28</v>
      </c>
      <c r="I14" s="9" t="n">
        <f aca="false">E14-F14</f>
        <v>3.95885944417118</v>
      </c>
      <c r="J14" s="9" t="n">
        <f aca="false">IFERROR(CEILING(F14/H14*IF(Ajustes!$B$12=1,1+Ajustes!$B$13,1),0.5),0)</f>
        <v>15.5</v>
      </c>
      <c r="K14" s="2" t="str">
        <f aca="false">IF(G14&gt;H14+0.03,"Reajustar precio / porción",IF(G14&lt;H14-0.1,"Margen alto","OK"))</f>
        <v>Reajustar precio / porción</v>
      </c>
    </row>
    <row r="15" customFormat="false" ht="15" hidden="false" customHeight="false" outlineLevel="0" collapsed="false">
      <c r="A15" s="2" t="s">
        <v>32</v>
      </c>
      <c r="B15" s="3" t="s">
        <v>33</v>
      </c>
      <c r="C15" s="2" t="s">
        <v>15</v>
      </c>
      <c r="D15" s="5" t="n">
        <v>9.5</v>
      </c>
      <c r="E15" s="6" t="n">
        <f aca="false">IF(Ajustes!$B$12=1,D15/(1+Ajustes!$B$13),D15)</f>
        <v>8.8785046728972</v>
      </c>
      <c r="F15" s="6" t="n">
        <f aca="false">SUMIF(Especificaciones!$A$5:$A$109,A15,Especificaciones!$G$5:$G$109)</f>
        <v>5.07222222222222</v>
      </c>
      <c r="G15" s="7" t="n">
        <f aca="false">IFERROR(F15/E15,0)</f>
        <v>0.571292397660819</v>
      </c>
      <c r="H15" s="8" t="n">
        <f aca="false">IFERROR(INDEX(Ajustes!$B$17:$B$20,MATCH(C15,Ajustes!$A$17:$A$20,0)),0.3)</f>
        <v>0.28</v>
      </c>
      <c r="I15" s="9" t="n">
        <f aca="false">E15-F15</f>
        <v>3.80628245067497</v>
      </c>
      <c r="J15" s="9" t="n">
        <f aca="false">IFERROR(CEILING(F15/H15*IF(Ajustes!$B$12=1,1+Ajustes!$B$13,1),0.5),0)</f>
        <v>19.5</v>
      </c>
      <c r="K15" s="2" t="str">
        <f aca="false">IF(G15&gt;H15+0.03,"Reajustar precio / porción",IF(G15&lt;H15-0.1,"Margen alto","OK"))</f>
        <v>Reajustar precio / porción</v>
      </c>
    </row>
    <row r="16" customFormat="false" ht="15" hidden="false" customHeight="false" outlineLevel="0" collapsed="false">
      <c r="A16" s="2" t="s">
        <v>34</v>
      </c>
      <c r="B16" s="3" t="s">
        <v>35</v>
      </c>
      <c r="C16" s="2" t="s">
        <v>15</v>
      </c>
      <c r="D16" s="5" t="n">
        <v>12.5</v>
      </c>
      <c r="E16" s="6" t="n">
        <f aca="false">IF(Ajustes!$B$12=1,D16/(1+Ajustes!$B$13),D16)</f>
        <v>11.6822429906542</v>
      </c>
      <c r="F16" s="6" t="n">
        <f aca="false">SUMIF(Especificaciones!$A$5:$A$109,A16,Especificaciones!$G$5:$G$109)</f>
        <v>4.734</v>
      </c>
      <c r="G16" s="7" t="n">
        <f aca="false">IFERROR(F16/E16,0)</f>
        <v>0.4052304</v>
      </c>
      <c r="H16" s="8" t="n">
        <f aca="false">IFERROR(INDEX(Ajustes!$B$17:$B$20,MATCH(C16,Ajustes!$A$17:$A$20,0)),0.3)</f>
        <v>0.28</v>
      </c>
      <c r="I16" s="9" t="n">
        <f aca="false">E16-F16</f>
        <v>6.9482429906542</v>
      </c>
      <c r="J16" s="9" t="n">
        <f aca="false">IFERROR(CEILING(F16/H16*IF(Ajustes!$B$12=1,1+Ajustes!$B$13,1),0.5),0)</f>
        <v>18.5</v>
      </c>
      <c r="K16" s="2" t="str">
        <f aca="false">IF(G16&gt;H16+0.03,"Reajustar precio / porción",IF(G16&lt;H16-0.1,"Margen alto","OK"))</f>
        <v>Reajustar precio / porción</v>
      </c>
    </row>
    <row r="17" customFormat="false" ht="15" hidden="false" customHeight="false" outlineLevel="0" collapsed="false">
      <c r="A17" s="2" t="s">
        <v>36</v>
      </c>
      <c r="B17" s="3" t="s">
        <v>37</v>
      </c>
      <c r="C17" s="2" t="s">
        <v>15</v>
      </c>
      <c r="D17" s="5" t="n">
        <v>10.5</v>
      </c>
      <c r="E17" s="6" t="n">
        <f aca="false">IF(Ajustes!$B$12=1,D17/(1+Ajustes!$B$13),D17)</f>
        <v>9.81308411214953</v>
      </c>
      <c r="F17" s="6" t="n">
        <f aca="false">SUMIF(Especificaciones!$A$5:$A$109,A17,Especificaciones!$G$5:$G$109)</f>
        <v>2.58708333333333</v>
      </c>
      <c r="G17" s="7" t="n">
        <f aca="false">IFERROR(F17/E17,0)</f>
        <v>0.263636111111111</v>
      </c>
      <c r="H17" s="8" t="n">
        <f aca="false">IFERROR(INDEX(Ajustes!$B$17:$B$20,MATCH(C17,Ajustes!$A$17:$A$20,0)),0.3)</f>
        <v>0.28</v>
      </c>
      <c r="I17" s="9" t="n">
        <f aca="false">E17-F17</f>
        <v>7.2260007788162</v>
      </c>
      <c r="J17" s="9" t="n">
        <f aca="false">IFERROR(CEILING(F17/H17*IF(Ajustes!$B$12=1,1+Ajustes!$B$13,1),0.5),0)</f>
        <v>10</v>
      </c>
      <c r="K17" s="2" t="str">
        <f aca="false">IF(G17&gt;H17+0.03,"Reajustar precio / porción",IF(G17&lt;H17-0.1,"Margen alto","OK"))</f>
        <v>OK</v>
      </c>
    </row>
    <row r="18" customFormat="false" ht="15" hidden="false" customHeight="false" outlineLevel="0" collapsed="false">
      <c r="A18" s="2" t="s">
        <v>38</v>
      </c>
      <c r="B18" s="3" t="s">
        <v>39</v>
      </c>
      <c r="C18" s="2" t="s">
        <v>40</v>
      </c>
      <c r="D18" s="5" t="n">
        <v>13</v>
      </c>
      <c r="E18" s="6" t="n">
        <f aca="false">IF(Ajustes!$B$12=1,D18/(1+Ajustes!$B$13),D18)</f>
        <v>12.1495327102804</v>
      </c>
      <c r="F18" s="6" t="n">
        <f aca="false">SUMIF(Especificaciones!$A$5:$A$109,A18,Especificaciones!$G$5:$G$109)</f>
        <v>3.91184033613445</v>
      </c>
      <c r="G18" s="7" t="n">
        <f aca="false">IFERROR(F18/E18,0)</f>
        <v>0.321974550743374</v>
      </c>
      <c r="H18" s="8" t="n">
        <f aca="false">IFERROR(INDEX(Ajustes!$B$17:$B$20,MATCH(C18,Ajustes!$A$17:$A$20,0)),0.3)</f>
        <v>0.35</v>
      </c>
      <c r="I18" s="9" t="n">
        <f aca="false">E18-F18</f>
        <v>8.23769237414592</v>
      </c>
      <c r="J18" s="9" t="n">
        <f aca="false">IFERROR(CEILING(F18/H18*IF(Ajustes!$B$12=1,1+Ajustes!$B$13,1),0.5),0)</f>
        <v>12</v>
      </c>
      <c r="K18" s="2" t="str">
        <f aca="false">IF(G18&gt;H18+0.03,"Reajustar precio / porción",IF(G18&lt;H18-0.1,"Margen alto","OK"))</f>
        <v>OK</v>
      </c>
    </row>
    <row r="19" customFormat="false" ht="15" hidden="false" customHeight="false" outlineLevel="0" collapsed="false">
      <c r="A19" s="2" t="s">
        <v>41</v>
      </c>
      <c r="B19" s="3" t="s">
        <v>42</v>
      </c>
      <c r="C19" s="2" t="s">
        <v>40</v>
      </c>
      <c r="D19" s="5" t="n">
        <v>14</v>
      </c>
      <c r="E19" s="6" t="n">
        <f aca="false">IF(Ajustes!$B$12=1,D19/(1+Ajustes!$B$13),D19)</f>
        <v>13.0841121495327</v>
      </c>
      <c r="F19" s="6" t="n">
        <f aca="false">SUMIF(Especificaciones!$A$5:$A$109,A19,Especificaciones!$G$5:$G$109)</f>
        <v>5.47426680672269</v>
      </c>
      <c r="G19" s="7" t="n">
        <f aca="false">IFERROR(F19/E19,0)</f>
        <v>0.418390391656663</v>
      </c>
      <c r="H19" s="8" t="n">
        <f aca="false">IFERROR(INDEX(Ajustes!$B$17:$B$20,MATCH(C19,Ajustes!$A$17:$A$20,0)),0.3)</f>
        <v>0.35</v>
      </c>
      <c r="I19" s="9" t="n">
        <f aca="false">E19-F19</f>
        <v>7.60984534281002</v>
      </c>
      <c r="J19" s="9" t="n">
        <f aca="false">IFERROR(CEILING(F19/H19*IF(Ajustes!$B$12=1,1+Ajustes!$B$13,1),0.5),0)</f>
        <v>17</v>
      </c>
      <c r="K19" s="2" t="str">
        <f aca="false">IF(G19&gt;H19+0.03,"Reajustar precio / porción",IF(G19&lt;H19-0.1,"Margen alto","OK"))</f>
        <v>Reajustar precio / porción</v>
      </c>
    </row>
    <row r="20" customFormat="false" ht="15" hidden="false" customHeight="false" outlineLevel="0" collapsed="false">
      <c r="A20" s="2" t="s">
        <v>43</v>
      </c>
      <c r="B20" s="3" t="s">
        <v>44</v>
      </c>
      <c r="C20" s="2" t="s">
        <v>40</v>
      </c>
      <c r="D20" s="5" t="n">
        <v>35</v>
      </c>
      <c r="E20" s="6" t="n">
        <f aca="false">IF(Ajustes!$B$12=1,D20/(1+Ajustes!$B$13),D20)</f>
        <v>32.7102803738318</v>
      </c>
      <c r="F20" s="6" t="n">
        <f aca="false">SUMIF(Especificaciones!$A$5:$A$109,A20,Especificaciones!$G$5:$G$109)</f>
        <v>14.5447570028011</v>
      </c>
      <c r="G20" s="7" t="n">
        <f aca="false">IFERROR(F20/E20,0)</f>
        <v>0.44465399979992</v>
      </c>
      <c r="H20" s="8" t="n">
        <f aca="false">IFERROR(INDEX(Ajustes!$B$17:$B$20,MATCH(C20,Ajustes!$A$17:$A$20,0)),0.3)</f>
        <v>0.35</v>
      </c>
      <c r="I20" s="9" t="n">
        <f aca="false">E20-F20</f>
        <v>18.1655233710307</v>
      </c>
      <c r="J20" s="9" t="n">
        <f aca="false">IFERROR(CEILING(F20/H20*IF(Ajustes!$B$12=1,1+Ajustes!$B$13,1),0.5),0)</f>
        <v>44.5</v>
      </c>
      <c r="K20" s="2" t="str">
        <f aca="false">IF(G20&gt;H20+0.03,"Reajustar precio / porción",IF(G20&lt;H20-0.1,"Margen alto","OK"))</f>
        <v>Reajustar precio / porción</v>
      </c>
    </row>
    <row r="21" customFormat="false" ht="15" hidden="false" customHeight="false" outlineLevel="0" collapsed="false">
      <c r="A21" s="2" t="s">
        <v>45</v>
      </c>
      <c r="B21" s="3" t="s">
        <v>46</v>
      </c>
      <c r="C21" s="2" t="s">
        <v>40</v>
      </c>
      <c r="D21" s="5" t="n">
        <v>25</v>
      </c>
      <c r="E21" s="6" t="n">
        <f aca="false">IF(Ajustes!$B$12=1,D21/(1+Ajustes!$B$13),D21)</f>
        <v>23.3644859813084</v>
      </c>
      <c r="F21" s="6" t="n">
        <f aca="false">SUMIF(Especificaciones!$A$5:$A$109,A21,Especificaciones!$G$5:$G$109)</f>
        <v>10.5860070028011</v>
      </c>
      <c r="G21" s="7" t="n">
        <f aca="false">IFERROR(F21/E21,0)</f>
        <v>0.453081099719888</v>
      </c>
      <c r="H21" s="8" t="n">
        <f aca="false">IFERROR(INDEX(Ajustes!$B$17:$B$20,MATCH(C21,Ajustes!$A$17:$A$20,0)),0.3)</f>
        <v>0.35</v>
      </c>
      <c r="I21" s="9" t="n">
        <f aca="false">E21-F21</f>
        <v>12.7784789785073</v>
      </c>
      <c r="J21" s="9" t="n">
        <f aca="false">IFERROR(CEILING(F21/H21*IF(Ajustes!$B$12=1,1+Ajustes!$B$13,1),0.5),0)</f>
        <v>32.5</v>
      </c>
      <c r="K21" s="2" t="str">
        <f aca="false">IF(G21&gt;H21+0.03,"Reajustar precio / porción",IF(G21&lt;H21-0.1,"Margen alto","OK"))</f>
        <v>Reajustar precio / porción</v>
      </c>
    </row>
    <row r="22" customFormat="false" ht="15" hidden="false" customHeight="false" outlineLevel="0" collapsed="false">
      <c r="A22" s="2" t="s">
        <v>47</v>
      </c>
      <c r="B22" s="3" t="s">
        <v>48</v>
      </c>
      <c r="C22" s="2" t="s">
        <v>40</v>
      </c>
      <c r="D22" s="5" t="n">
        <v>28</v>
      </c>
      <c r="E22" s="6" t="n">
        <f aca="false">IF(Ajustes!$B$12=1,D22/(1+Ajustes!$B$13),D22)</f>
        <v>26.1682242990654</v>
      </c>
      <c r="F22" s="6" t="n">
        <f aca="false">SUMIF(Especificaciones!$A$5:$A$109,A22,Especificaciones!$G$5:$G$109)</f>
        <v>10.2428697478992</v>
      </c>
      <c r="G22" s="7" t="n">
        <f aca="false">IFERROR(F22/E22,0)</f>
        <v>0.391423951080432</v>
      </c>
      <c r="H22" s="8" t="n">
        <f aca="false">IFERROR(INDEX(Ajustes!$B$17:$B$20,MATCH(C22,Ajustes!$A$17:$A$20,0)),0.3)</f>
        <v>0.35</v>
      </c>
      <c r="I22" s="9" t="n">
        <f aca="false">E22-F22</f>
        <v>15.9253545511663</v>
      </c>
      <c r="J22" s="9" t="n">
        <f aca="false">IFERROR(CEILING(F22/H22*IF(Ajustes!$B$12=1,1+Ajustes!$B$13,1),0.5),0)</f>
        <v>31.5</v>
      </c>
      <c r="K22" s="2" t="str">
        <f aca="false">IF(G22&gt;H22+0.03,"Reajustar precio / porción",IF(G22&lt;H22-0.1,"Margen alto","OK"))</f>
        <v>Reajustar precio / porción</v>
      </c>
    </row>
    <row r="23" customFormat="false" ht="15" hidden="false" customHeight="false" outlineLevel="0" collapsed="false">
      <c r="A23" s="2" t="s">
        <v>49</v>
      </c>
      <c r="B23" s="3" t="s">
        <v>50</v>
      </c>
      <c r="C23" s="2" t="s">
        <v>40</v>
      </c>
      <c r="D23" s="5" t="n">
        <v>17</v>
      </c>
      <c r="E23" s="6" t="n">
        <f aca="false">IF(Ajustes!$B$12=1,D23/(1+Ajustes!$B$13),D23)</f>
        <v>15.8878504672897</v>
      </c>
      <c r="F23" s="6" t="n">
        <f aca="false">SUMIF(Especificaciones!$A$5:$A$109,A23,Especificaciones!$G$5:$G$109)</f>
        <v>6.70739589169001</v>
      </c>
      <c r="G23" s="7" t="n">
        <f aca="false">IFERROR(F23/E23,0)</f>
        <v>0.422171388476959</v>
      </c>
      <c r="H23" s="8" t="n">
        <f aca="false">IFERROR(INDEX(Ajustes!$B$17:$B$20,MATCH(C23,Ajustes!$A$17:$A$20,0)),0.3)</f>
        <v>0.35</v>
      </c>
      <c r="I23" s="9" t="n">
        <f aca="false">E23-F23</f>
        <v>9.18045457559971</v>
      </c>
      <c r="J23" s="9" t="n">
        <f aca="false">IFERROR(CEILING(F23/H23*IF(Ajustes!$B$12=1,1+Ajustes!$B$13,1),0.5),0)</f>
        <v>21</v>
      </c>
      <c r="K23" s="2" t="str">
        <f aca="false">IF(G23&gt;H23+0.03,"Reajustar precio / porción",IF(G23&lt;H23-0.1,"Margen alto","OK"))</f>
        <v>Reajustar precio / porción</v>
      </c>
    </row>
    <row r="24" customFormat="false" ht="15" hidden="false" customHeight="false" outlineLevel="0" collapsed="false">
      <c r="A24" s="2" t="s">
        <v>51</v>
      </c>
      <c r="B24" s="3" t="s">
        <v>52</v>
      </c>
      <c r="C24" s="2" t="s">
        <v>53</v>
      </c>
      <c r="D24" s="5" t="n">
        <v>6</v>
      </c>
      <c r="E24" s="6" t="n">
        <f aca="false">IF(Ajustes!$B$12=1,D24/(1+Ajustes!$B$13),D24)</f>
        <v>5.60747663551402</v>
      </c>
      <c r="F24" s="6" t="n">
        <f aca="false">SUMIF(Especificaciones!$A$5:$A$109,A24,Especificaciones!$G$5:$G$109)</f>
        <v>2.82242857142857</v>
      </c>
      <c r="G24" s="7" t="n">
        <f aca="false">IFERROR(F24/E24,0)</f>
        <v>0.503333095238095</v>
      </c>
      <c r="H24" s="8" t="n">
        <f aca="false">IFERROR(INDEX(Ajustes!$B$17:$B$20,MATCH(C24,Ajustes!$A$17:$A$20,0)),0.3)</f>
        <v>0.35</v>
      </c>
      <c r="I24" s="9" t="n">
        <f aca="false">E24-F24</f>
        <v>2.78504806408545</v>
      </c>
      <c r="J24" s="9" t="n">
        <f aca="false">IFERROR(CEILING(F24/H24*IF(Ajustes!$B$12=1,1+Ajustes!$B$13,1),0.5),0)</f>
        <v>9</v>
      </c>
      <c r="K24" s="2" t="str">
        <f aca="false">IF(G24&gt;H24+0.03,"Reajustar precio / porción",IF(G24&lt;H24-0.1,"Margen alto","OK"))</f>
        <v>Reajustar precio / porción</v>
      </c>
    </row>
    <row r="25" customFormat="false" ht="15" hidden="false" customHeight="false" outlineLevel="0" collapsed="false">
      <c r="A25" s="2" t="s">
        <v>54</v>
      </c>
      <c r="B25" s="3" t="s">
        <v>55</v>
      </c>
      <c r="C25" s="2" t="s">
        <v>53</v>
      </c>
      <c r="D25" s="5" t="n">
        <v>6</v>
      </c>
      <c r="E25" s="6" t="n">
        <f aca="false">IF(Ajustes!$B$12=1,D25/(1+Ajustes!$B$13),D25)</f>
        <v>5.60747663551402</v>
      </c>
      <c r="F25" s="6" t="n">
        <f aca="false">SUMIF(Especificaciones!$A$5:$A$109,A25,Especificaciones!$G$5:$G$109)</f>
        <v>2.14559033613445</v>
      </c>
      <c r="G25" s="7" t="n">
        <f aca="false">IFERROR(F25/E25,0)</f>
        <v>0.382630276610644</v>
      </c>
      <c r="H25" s="8" t="n">
        <f aca="false">IFERROR(INDEX(Ajustes!$B$17:$B$20,MATCH(C25,Ajustes!$A$17:$A$20,0)),0.3)</f>
        <v>0.35</v>
      </c>
      <c r="I25" s="9" t="n">
        <f aca="false">E25-F25</f>
        <v>3.46188629937957</v>
      </c>
      <c r="J25" s="9" t="n">
        <f aca="false">IFERROR(CEILING(F25/H25*IF(Ajustes!$B$12=1,1+Ajustes!$B$13,1),0.5),0)</f>
        <v>7</v>
      </c>
      <c r="K25" s="2" t="str">
        <f aca="false">IF(G25&gt;H25+0.03,"Reajustar precio / porción",IF(G25&lt;H25-0.1,"Margen alto","OK"))</f>
        <v>Reajustar precio / porción</v>
      </c>
    </row>
    <row r="26" customFormat="false" ht="15" hidden="false" customHeight="false" outlineLevel="0" collapsed="false">
      <c r="A26" s="2" t="s">
        <v>56</v>
      </c>
      <c r="B26" s="3" t="s">
        <v>57</v>
      </c>
      <c r="C26" s="2" t="s">
        <v>53</v>
      </c>
      <c r="D26" s="5" t="n">
        <v>6</v>
      </c>
      <c r="E26" s="6" t="n">
        <f aca="false">IF(Ajustes!$B$12=1,D26/(1+Ajustes!$B$13),D26)</f>
        <v>5.60747663551402</v>
      </c>
      <c r="F26" s="6" t="n">
        <f aca="false">SUMIF(Especificaciones!$A$5:$A$109,A26,Especificaciones!$G$5:$G$109)</f>
        <v>1.03666666666667</v>
      </c>
      <c r="G26" s="7" t="n">
        <f aca="false">IFERROR(F26/E26,0)</f>
        <v>0.184872222222222</v>
      </c>
      <c r="H26" s="8" t="n">
        <f aca="false">IFERROR(INDEX(Ajustes!$B$17:$B$20,MATCH(C26,Ajustes!$A$17:$A$20,0)),0.3)</f>
        <v>0.35</v>
      </c>
      <c r="I26" s="9" t="n">
        <f aca="false">E26-F26</f>
        <v>4.57080996884735</v>
      </c>
      <c r="J26" s="9" t="n">
        <f aca="false">IFERROR(CEILING(F26/H26*IF(Ajustes!$B$12=1,1+Ajustes!$B$13,1),0.5),0)</f>
        <v>3.5</v>
      </c>
      <c r="K26" s="2" t="str">
        <f aca="false">IF(G26&gt;H26+0.03,"Reajustar precio / porción",IF(G26&lt;H26-0.1,"Margen alto","OK"))</f>
        <v>Margen alto</v>
      </c>
    </row>
    <row r="27" customFormat="false" ht="15" hidden="false" customHeight="false" outlineLevel="0" collapsed="false">
      <c r="A27" s="2" t="s">
        <v>58</v>
      </c>
      <c r="B27" s="3" t="s">
        <v>59</v>
      </c>
      <c r="C27" s="2" t="s">
        <v>60</v>
      </c>
      <c r="D27" s="5" t="n">
        <v>3.5</v>
      </c>
      <c r="E27" s="6" t="n">
        <f aca="false">IF(Ajustes!$B$12=1,D27/(1+Ajustes!$B$13),D27)</f>
        <v>3.27102803738318</v>
      </c>
      <c r="F27" s="6" t="n">
        <f aca="false">SUMIF(Especificaciones!$A$5:$A$109,A27,Especificaciones!$G$5:$G$109)</f>
        <v>0.81</v>
      </c>
      <c r="G27" s="7" t="n">
        <f aca="false">IFERROR(F27/E27,0)</f>
        <v>0.247628571428571</v>
      </c>
      <c r="H27" s="8" t="n">
        <f aca="false">IFERROR(INDEX(Ajustes!$B$17:$B$20,MATCH(C27,Ajustes!$A$17:$A$20,0)),0.3)</f>
        <v>0.25</v>
      </c>
      <c r="I27" s="9" t="n">
        <f aca="false">E27-F27</f>
        <v>2.46102803738318</v>
      </c>
      <c r="J27" s="9" t="n">
        <f aca="false">IFERROR(CEILING(F27/H27*IF(Ajustes!$B$12=1,1+Ajustes!$B$13,1),0.5),0)</f>
        <v>3.5</v>
      </c>
      <c r="K27" s="2" t="str">
        <f aca="false">IF(G27&gt;H27+0.03,"Reajustar precio / porción",IF(G27&lt;H27-0.1,"Margen alto","OK"))</f>
        <v>OK</v>
      </c>
    </row>
    <row r="28" customFormat="false" ht="15" hidden="false" customHeight="false" outlineLevel="0" collapsed="false">
      <c r="A28" s="2" t="s">
        <v>61</v>
      </c>
      <c r="B28" s="3" t="s">
        <v>62</v>
      </c>
      <c r="C28" s="2" t="s">
        <v>60</v>
      </c>
      <c r="D28" s="5" t="n">
        <v>3.5</v>
      </c>
      <c r="E28" s="6" t="n">
        <f aca="false">IF(Ajustes!$B$12=1,D28/(1+Ajustes!$B$13),D28)</f>
        <v>3.27102803738318</v>
      </c>
      <c r="F28" s="6" t="n">
        <f aca="false">SUMIF(Especificaciones!$A$5:$A$109,A28,Especificaciones!$G$5:$G$109)</f>
        <v>0.775</v>
      </c>
      <c r="G28" s="7" t="n">
        <f aca="false">IFERROR(F28/E28,0)</f>
        <v>0.236928571428571</v>
      </c>
      <c r="H28" s="8" t="n">
        <f aca="false">IFERROR(INDEX(Ajustes!$B$17:$B$20,MATCH(C28,Ajustes!$A$17:$A$20,0)),0.3)</f>
        <v>0.25</v>
      </c>
      <c r="I28" s="9" t="n">
        <f aca="false">E28-F28</f>
        <v>2.49602803738318</v>
      </c>
      <c r="J28" s="9" t="n">
        <f aca="false">IFERROR(CEILING(F28/H28*IF(Ajustes!$B$12=1,1+Ajustes!$B$13,1),0.5),0)</f>
        <v>3.5</v>
      </c>
      <c r="K28" s="2" t="str">
        <f aca="false">IF(G28&gt;H28+0.03,"Reajustar precio / porción",IF(G28&lt;H28-0.1,"Margen alto","OK"))</f>
        <v>OK</v>
      </c>
    </row>
    <row r="29" customFormat="false" ht="15" hidden="false" customHeight="false" outlineLevel="0" collapsed="false">
      <c r="A29" s="2" t="s">
        <v>63</v>
      </c>
      <c r="B29" s="3" t="s">
        <v>64</v>
      </c>
      <c r="C29" s="2" t="s">
        <v>60</v>
      </c>
      <c r="D29" s="5" t="n">
        <v>3.5</v>
      </c>
      <c r="E29" s="6" t="n">
        <f aca="false">IF(Ajustes!$B$12=1,D29/(1+Ajustes!$B$13),D29)</f>
        <v>3.27102803738318</v>
      </c>
      <c r="F29" s="6" t="n">
        <f aca="false">SUMIF(Especificaciones!$A$5:$A$109,A29,Especificaciones!$G$5:$G$109)</f>
        <v>0.707142857142857</v>
      </c>
      <c r="G29" s="7" t="n">
        <f aca="false">IFERROR(F29/E29,0)</f>
        <v>0.216183673469388</v>
      </c>
      <c r="H29" s="8" t="n">
        <f aca="false">IFERROR(INDEX(Ajustes!$B$17:$B$20,MATCH(C29,Ajustes!$A$17:$A$20,0)),0.3)</f>
        <v>0.25</v>
      </c>
      <c r="I29" s="9" t="n">
        <f aca="false">E29-F29</f>
        <v>2.56388518024032</v>
      </c>
      <c r="J29" s="9" t="n">
        <f aca="false">IFERROR(CEILING(F29/H29*IF(Ajustes!$B$12=1,1+Ajustes!$B$13,1),0.5),0)</f>
        <v>3.5</v>
      </c>
      <c r="K29" s="2" t="str">
        <f aca="false">IF(G29&gt;H29+0.03,"Reajustar precio / porción",IF(G29&lt;H29-0.1,"Margen alto","OK"))</f>
        <v>OK</v>
      </c>
    </row>
    <row r="30" customFormat="false" ht="15" hidden="false" customHeight="false" outlineLevel="0" collapsed="false">
      <c r="A30" s="2" t="s">
        <v>65</v>
      </c>
      <c r="B30" s="3" t="s">
        <v>66</v>
      </c>
      <c r="C30" s="2" t="s">
        <v>60</v>
      </c>
      <c r="D30" s="5" t="n">
        <v>4.5</v>
      </c>
      <c r="E30" s="6" t="n">
        <f aca="false">IF(Ajustes!$B$12=1,D30/(1+Ajustes!$B$13),D30)</f>
        <v>4.20560747663551</v>
      </c>
      <c r="F30" s="6" t="n">
        <f aca="false">SUMIF(Especificaciones!$A$5:$A$109,A30,Especificaciones!$G$5:$G$109)</f>
        <v>0.967058823529412</v>
      </c>
      <c r="G30" s="7" t="n">
        <f aca="false">IFERROR(F30/E30,0)</f>
        <v>0.229945098039216</v>
      </c>
      <c r="H30" s="8" t="n">
        <f aca="false">IFERROR(INDEX(Ajustes!$B$17:$B$20,MATCH(C30,Ajustes!$A$17:$A$20,0)),0.3)</f>
        <v>0.25</v>
      </c>
      <c r="I30" s="9" t="n">
        <f aca="false">E30-F30</f>
        <v>3.2385486531061</v>
      </c>
      <c r="J30" s="9" t="n">
        <f aca="false">IFERROR(CEILING(F30/H30*IF(Ajustes!$B$12=1,1+Ajustes!$B$13,1),0.5),0)</f>
        <v>4.5</v>
      </c>
      <c r="K30" s="2" t="str">
        <f aca="false">IF(G30&gt;H30+0.03,"Reajustar precio / porción",IF(G30&lt;H30-0.1,"Margen alto","OK"))</f>
        <v>OK</v>
      </c>
    </row>
    <row r="31" customFormat="false" ht="15" hidden="false" customHeight="false" outlineLevel="0" collapsed="false">
      <c r="A31" s="2" t="s">
        <v>67</v>
      </c>
      <c r="B31" s="3" t="s">
        <v>68</v>
      </c>
      <c r="C31" s="2" t="s">
        <v>60</v>
      </c>
      <c r="D31" s="5" t="n">
        <v>3.5</v>
      </c>
      <c r="E31" s="6" t="n">
        <f aca="false">IF(Ajustes!$B$12=1,D31/(1+Ajustes!$B$13),D31)</f>
        <v>3.27102803738318</v>
      </c>
      <c r="F31" s="6" t="n">
        <f aca="false">SUMIF(Especificaciones!$A$5:$A$109,A31,Especificaciones!$G$5:$G$109)</f>
        <v>0.75</v>
      </c>
      <c r="G31" s="7" t="n">
        <f aca="false">IFERROR(F31/E31,0)</f>
        <v>0.229285714285714</v>
      </c>
      <c r="H31" s="8" t="n">
        <f aca="false">IFERROR(INDEX(Ajustes!$B$17:$B$20,MATCH(C31,Ajustes!$A$17:$A$20,0)),0.3)</f>
        <v>0.25</v>
      </c>
      <c r="I31" s="9" t="n">
        <f aca="false">E31-F31</f>
        <v>2.52102803738318</v>
      </c>
      <c r="J31" s="9" t="n">
        <f aca="false">IFERROR(CEILING(F31/H31*IF(Ajustes!$B$12=1,1+Ajustes!$B$13,1),0.5),0)</f>
        <v>3.5</v>
      </c>
      <c r="K31" s="2" t="str">
        <f aca="false">IF(G31&gt;H31+0.03,"Reajustar precio / porción",IF(G31&lt;H31-0.1,"Margen alto","OK"))</f>
        <v>OK</v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10" t="s">
        <v>69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31.5" hidden="false" customHeight="true" outlineLevel="0" collapsed="false">
      <c r="A34" s="4" t="s">
        <v>4</v>
      </c>
      <c r="B34" s="4" t="s">
        <v>70</v>
      </c>
      <c r="C34" s="4"/>
      <c r="D34" s="4"/>
      <c r="E34" s="4"/>
      <c r="F34" s="4" t="s">
        <v>71</v>
      </c>
      <c r="G34" s="4" t="s">
        <v>72</v>
      </c>
      <c r="H34" s="4" t="s">
        <v>9</v>
      </c>
      <c r="I34" s="4" t="s">
        <v>73</v>
      </c>
      <c r="J34" s="2"/>
      <c r="K34" s="2"/>
    </row>
    <row r="35" customFormat="false" ht="15" hidden="false" customHeight="false" outlineLevel="0" collapsed="false">
      <c r="A35" s="10" t="s">
        <v>15</v>
      </c>
      <c r="B35" s="3" t="s">
        <v>74</v>
      </c>
      <c r="C35" s="2"/>
      <c r="D35" s="2"/>
      <c r="E35" s="2"/>
      <c r="F35" s="9" t="n">
        <f aca="false">IFERROR(AVERAGEIF($C$5:$C$31,A35,$F$5:$F$31),0)</f>
        <v>3.46663316340738</v>
      </c>
      <c r="G35" s="7" t="n">
        <f aca="false">IFERROR(AVERAGEIF($C$5:$C$31,A35,$G$5:$G$31),0)</f>
        <v>0.359741316781296</v>
      </c>
      <c r="H35" s="8" t="n">
        <f aca="false">IFERROR(INDEX(Ajustes!$B$17:$B$20,MATCH(A35,Ajustes!$A$17:$A$20,0)),0)</f>
        <v>0.28</v>
      </c>
      <c r="I35" s="9" t="n">
        <f aca="false">IFERROR(AVERAGEIF($C$5:$C$31,A35,$I$5:$I$31),0)</f>
        <v>6.27456022264582</v>
      </c>
      <c r="J35" s="2"/>
      <c r="K35" s="2"/>
    </row>
    <row r="36" customFormat="false" ht="15" hidden="false" customHeight="false" outlineLevel="0" collapsed="false">
      <c r="A36" s="10" t="s">
        <v>40</v>
      </c>
      <c r="B36" s="3" t="s">
        <v>75</v>
      </c>
      <c r="C36" s="2"/>
      <c r="D36" s="2"/>
      <c r="E36" s="2"/>
      <c r="F36" s="9" t="n">
        <f aca="false">IFERROR(AVERAGEIF($C$5:$C$31,A36,$F$5:$F$31),0)</f>
        <v>8.57785613134143</v>
      </c>
      <c r="G36" s="7" t="n">
        <f aca="false">IFERROR(AVERAGEIF($C$5:$C$31,A36,$G$5:$G$31),0)</f>
        <v>0.408615896912873</v>
      </c>
      <c r="H36" s="8" t="n">
        <f aca="false">IFERROR(INDEX(Ajustes!$B$17:$B$20,MATCH(A36,Ajustes!$A$17:$A$20,0)),0)</f>
        <v>0.35</v>
      </c>
      <c r="I36" s="9" t="n">
        <f aca="false">IFERROR(AVERAGEIF($C$5:$C$31,A36,$I$5:$I$31),0)</f>
        <v>11.98289153221</v>
      </c>
      <c r="J36" s="2"/>
      <c r="K36" s="2"/>
    </row>
    <row r="37" customFormat="false" ht="15" hidden="false" customHeight="false" outlineLevel="0" collapsed="false">
      <c r="A37" s="10" t="s">
        <v>53</v>
      </c>
      <c r="B37" s="3" t="s">
        <v>76</v>
      </c>
      <c r="C37" s="2"/>
      <c r="D37" s="2"/>
      <c r="E37" s="2"/>
      <c r="F37" s="9" t="n">
        <f aca="false">IFERROR(AVERAGEIF($C$5:$C$31,A37,$F$5:$F$31),0)</f>
        <v>2.00156185807656</v>
      </c>
      <c r="G37" s="7" t="n">
        <f aca="false">IFERROR(AVERAGEIF($C$5:$C$31,A37,$G$5:$G$31),0)</f>
        <v>0.356945198023654</v>
      </c>
      <c r="H37" s="8" t="n">
        <f aca="false">IFERROR(INDEX(Ajustes!$B$17:$B$20,MATCH(A37,Ajustes!$A$17:$A$20,0)),0)</f>
        <v>0.35</v>
      </c>
      <c r="I37" s="9" t="n">
        <f aca="false">IFERROR(AVERAGEIF($C$5:$C$31,A37,$I$5:$I$31),0)</f>
        <v>3.60591477743745</v>
      </c>
      <c r="J37" s="2"/>
      <c r="K37" s="2"/>
    </row>
    <row r="38" customFormat="false" ht="15" hidden="false" customHeight="false" outlineLevel="0" collapsed="false">
      <c r="A38" s="10" t="s">
        <v>60</v>
      </c>
      <c r="B38" s="3" t="s">
        <v>77</v>
      </c>
      <c r="C38" s="2"/>
      <c r="D38" s="2"/>
      <c r="E38" s="2"/>
      <c r="F38" s="9" t="n">
        <f aca="false">IFERROR(AVERAGEIF($C$5:$C$31,A38,$F$5:$F$31),0)</f>
        <v>0.801840336134454</v>
      </c>
      <c r="G38" s="7" t="n">
        <f aca="false">IFERROR(AVERAGEIF($C$5:$C$31,A38,$G$5:$G$31),0)</f>
        <v>0.231994325730292</v>
      </c>
      <c r="H38" s="8" t="n">
        <f aca="false">IFERROR(INDEX(Ajustes!$B$17:$B$20,MATCH(A38,Ajustes!$A$17:$A$20,0)),0)</f>
        <v>0.25</v>
      </c>
      <c r="I38" s="9" t="n">
        <f aca="false">IFERROR(AVERAGEIF($C$5:$C$31,A38,$I$5:$I$31),0)</f>
        <v>2.65610358909919</v>
      </c>
      <c r="J38" s="2"/>
      <c r="K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15" hidden="false" customHeight="false" outlineLevel="0" collapsed="false">
      <c r="A40" s="3" t="s">
        <v>78</v>
      </c>
      <c r="B40" s="2"/>
      <c r="C40" s="2"/>
      <c r="D40" s="2"/>
      <c r="E40" s="2"/>
      <c r="F40" s="2"/>
      <c r="G40" s="2"/>
      <c r="H40" s="2"/>
      <c r="I40" s="2"/>
      <c r="J40" s="2"/>
      <c r="K40" s="2"/>
    </row>
  </sheetData>
  <conditionalFormatting sqref="K5:K31">
    <cfRule type="cellIs" priority="2" operator="equal" aboveAverage="0" equalAverage="0" bottom="0" percent="0" rank="0" text="" dxfId="0">
      <formula>"Reajustar precio / porción"</formula>
    </cfRule>
    <cfRule type="cellIs" priority="3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4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79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80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81</v>
      </c>
      <c r="E4" s="4" t="s">
        <v>82</v>
      </c>
      <c r="F4" s="4" t="s">
        <v>83</v>
      </c>
    </row>
    <row r="5" customFormat="false" ht="64.9" hidden="false" customHeight="false" outlineLevel="0" collapsed="false">
      <c r="A5" s="11" t="s">
        <v>13</v>
      </c>
      <c r="B5" s="12" t="s">
        <v>14</v>
      </c>
      <c r="C5" s="13" t="s">
        <v>15</v>
      </c>
      <c r="D5" s="13" t="s">
        <v>84</v>
      </c>
      <c r="E5" s="13" t="s">
        <v>85</v>
      </c>
      <c r="F5" s="13" t="s">
        <v>86</v>
      </c>
    </row>
    <row r="6" customFormat="false" ht="52.2" hidden="false" customHeight="false" outlineLevel="0" collapsed="false">
      <c r="A6" s="11" t="s">
        <v>16</v>
      </c>
      <c r="B6" s="12" t="s">
        <v>17</v>
      </c>
      <c r="C6" s="13" t="s">
        <v>15</v>
      </c>
      <c r="D6" s="13" t="s">
        <v>87</v>
      </c>
      <c r="E6" s="13" t="s">
        <v>88</v>
      </c>
      <c r="F6" s="13" t="s">
        <v>89</v>
      </c>
    </row>
    <row r="7" customFormat="false" ht="77.6" hidden="false" customHeight="false" outlineLevel="0" collapsed="false">
      <c r="A7" s="11" t="s">
        <v>18</v>
      </c>
      <c r="B7" s="12" t="s">
        <v>19</v>
      </c>
      <c r="C7" s="13" t="s">
        <v>15</v>
      </c>
      <c r="D7" s="13" t="s">
        <v>90</v>
      </c>
      <c r="E7" s="13" t="s">
        <v>91</v>
      </c>
      <c r="F7" s="13" t="s">
        <v>92</v>
      </c>
    </row>
    <row r="8" customFormat="false" ht="77.6" hidden="false" customHeight="false" outlineLevel="0" collapsed="false">
      <c r="A8" s="11" t="s">
        <v>20</v>
      </c>
      <c r="B8" s="12" t="s">
        <v>21</v>
      </c>
      <c r="C8" s="13" t="s">
        <v>15</v>
      </c>
      <c r="D8" s="13" t="s">
        <v>93</v>
      </c>
      <c r="E8" s="13" t="s">
        <v>94</v>
      </c>
      <c r="F8" s="13" t="s">
        <v>95</v>
      </c>
    </row>
    <row r="9" customFormat="false" ht="39.55" hidden="false" customHeight="false" outlineLevel="0" collapsed="false">
      <c r="A9" s="11" t="s">
        <v>22</v>
      </c>
      <c r="B9" s="12" t="s">
        <v>23</v>
      </c>
      <c r="C9" s="13" t="s">
        <v>15</v>
      </c>
      <c r="D9" s="13" t="s">
        <v>96</v>
      </c>
      <c r="E9" s="13" t="s">
        <v>97</v>
      </c>
      <c r="F9" s="13" t="s">
        <v>98</v>
      </c>
    </row>
    <row r="10" customFormat="false" ht="52.2" hidden="false" customHeight="false" outlineLevel="0" collapsed="false">
      <c r="A10" s="11" t="s">
        <v>24</v>
      </c>
      <c r="B10" s="12" t="s">
        <v>25</v>
      </c>
      <c r="C10" s="13" t="s">
        <v>15</v>
      </c>
      <c r="D10" s="13" t="s">
        <v>99</v>
      </c>
      <c r="E10" s="13" t="s">
        <v>100</v>
      </c>
      <c r="F10" s="13" t="s">
        <v>101</v>
      </c>
    </row>
    <row r="11" customFormat="false" ht="64.9" hidden="false" customHeight="false" outlineLevel="0" collapsed="false">
      <c r="A11" s="11" t="s">
        <v>26</v>
      </c>
      <c r="B11" s="12" t="s">
        <v>26</v>
      </c>
      <c r="C11" s="13" t="s">
        <v>15</v>
      </c>
      <c r="D11" s="13" t="s">
        <v>102</v>
      </c>
      <c r="E11" s="13" t="s">
        <v>103</v>
      </c>
      <c r="F11" s="13" t="s">
        <v>104</v>
      </c>
    </row>
    <row r="12" customFormat="false" ht="39.55" hidden="false" customHeight="false" outlineLevel="0" collapsed="false">
      <c r="A12" s="11" t="s">
        <v>27</v>
      </c>
      <c r="B12" s="12" t="s">
        <v>28</v>
      </c>
      <c r="C12" s="13" t="s">
        <v>15</v>
      </c>
      <c r="D12" s="13" t="s">
        <v>105</v>
      </c>
      <c r="E12" s="13" t="s">
        <v>106</v>
      </c>
      <c r="F12" s="13" t="s">
        <v>107</v>
      </c>
    </row>
    <row r="13" customFormat="false" ht="39.55" hidden="false" customHeight="false" outlineLevel="0" collapsed="false">
      <c r="A13" s="11" t="s">
        <v>29</v>
      </c>
      <c r="B13" s="12" t="s">
        <v>29</v>
      </c>
      <c r="C13" s="13" t="s">
        <v>15</v>
      </c>
      <c r="D13" s="13" t="s">
        <v>108</v>
      </c>
      <c r="E13" s="13" t="s">
        <v>109</v>
      </c>
      <c r="F13" s="13" t="s">
        <v>110</v>
      </c>
    </row>
    <row r="14" customFormat="false" ht="52.2" hidden="false" customHeight="false" outlineLevel="0" collapsed="false">
      <c r="A14" s="11" t="s">
        <v>30</v>
      </c>
      <c r="B14" s="12" t="s">
        <v>31</v>
      </c>
      <c r="C14" s="13" t="s">
        <v>15</v>
      </c>
      <c r="D14" s="13" t="s">
        <v>111</v>
      </c>
      <c r="E14" s="13" t="s">
        <v>112</v>
      </c>
      <c r="F14" s="13" t="s">
        <v>113</v>
      </c>
    </row>
    <row r="15" customFormat="false" ht="64.9" hidden="false" customHeight="false" outlineLevel="0" collapsed="false">
      <c r="A15" s="11" t="s">
        <v>32</v>
      </c>
      <c r="B15" s="12" t="s">
        <v>33</v>
      </c>
      <c r="C15" s="13" t="s">
        <v>15</v>
      </c>
      <c r="D15" s="13" t="s">
        <v>114</v>
      </c>
      <c r="E15" s="13" t="s">
        <v>115</v>
      </c>
      <c r="F15" s="13" t="s">
        <v>116</v>
      </c>
    </row>
    <row r="16" customFormat="false" ht="39.55" hidden="false" customHeight="false" outlineLevel="0" collapsed="false">
      <c r="A16" s="11" t="s">
        <v>34</v>
      </c>
      <c r="B16" s="12" t="s">
        <v>35</v>
      </c>
      <c r="C16" s="13" t="s">
        <v>15</v>
      </c>
      <c r="D16" s="13" t="s">
        <v>117</v>
      </c>
      <c r="E16" s="13" t="s">
        <v>118</v>
      </c>
      <c r="F16" s="13" t="s">
        <v>119</v>
      </c>
    </row>
    <row r="17" customFormat="false" ht="64.9" hidden="false" customHeight="false" outlineLevel="0" collapsed="false">
      <c r="A17" s="11" t="s">
        <v>36</v>
      </c>
      <c r="B17" s="12" t="s">
        <v>37</v>
      </c>
      <c r="C17" s="13" t="s">
        <v>15</v>
      </c>
      <c r="D17" s="13" t="s">
        <v>120</v>
      </c>
      <c r="E17" s="13" t="s">
        <v>121</v>
      </c>
      <c r="F17" s="13" t="s">
        <v>122</v>
      </c>
    </row>
    <row r="18" customFormat="false" ht="52.2" hidden="false" customHeight="false" outlineLevel="0" collapsed="false">
      <c r="A18" s="11" t="s">
        <v>38</v>
      </c>
      <c r="B18" s="12" t="s">
        <v>39</v>
      </c>
      <c r="C18" s="13" t="s">
        <v>40</v>
      </c>
      <c r="D18" s="13" t="s">
        <v>123</v>
      </c>
      <c r="E18" s="13" t="s">
        <v>124</v>
      </c>
      <c r="F18" s="13" t="s">
        <v>125</v>
      </c>
    </row>
    <row r="19" customFormat="false" ht="77.6" hidden="false" customHeight="false" outlineLevel="0" collapsed="false">
      <c r="A19" s="11" t="s">
        <v>41</v>
      </c>
      <c r="B19" s="12" t="s">
        <v>42</v>
      </c>
      <c r="C19" s="13" t="s">
        <v>40</v>
      </c>
      <c r="D19" s="13" t="s">
        <v>126</v>
      </c>
      <c r="E19" s="13" t="s">
        <v>127</v>
      </c>
      <c r="F19" s="13" t="s">
        <v>128</v>
      </c>
    </row>
    <row r="20" customFormat="false" ht="77.6" hidden="false" customHeight="false" outlineLevel="0" collapsed="false">
      <c r="A20" s="11" t="s">
        <v>43</v>
      </c>
      <c r="B20" s="12" t="s">
        <v>44</v>
      </c>
      <c r="C20" s="13" t="s">
        <v>40</v>
      </c>
      <c r="D20" s="13" t="s">
        <v>129</v>
      </c>
      <c r="E20" s="13" t="s">
        <v>130</v>
      </c>
      <c r="F20" s="13" t="s">
        <v>131</v>
      </c>
    </row>
    <row r="21" customFormat="false" ht="52.2" hidden="false" customHeight="false" outlineLevel="0" collapsed="false">
      <c r="A21" s="11" t="s">
        <v>45</v>
      </c>
      <c r="B21" s="12" t="s">
        <v>46</v>
      </c>
      <c r="C21" s="13" t="s">
        <v>40</v>
      </c>
      <c r="D21" s="13" t="s">
        <v>132</v>
      </c>
      <c r="E21" s="13" t="s">
        <v>133</v>
      </c>
      <c r="F21" s="13" t="s">
        <v>134</v>
      </c>
    </row>
    <row r="22" customFormat="false" ht="52.2" hidden="false" customHeight="false" outlineLevel="0" collapsed="false">
      <c r="A22" s="11" t="s">
        <v>47</v>
      </c>
      <c r="B22" s="12" t="s">
        <v>48</v>
      </c>
      <c r="C22" s="13" t="s">
        <v>40</v>
      </c>
      <c r="D22" s="13" t="s">
        <v>135</v>
      </c>
      <c r="E22" s="13" t="s">
        <v>136</v>
      </c>
      <c r="F22" s="13" t="s">
        <v>137</v>
      </c>
    </row>
    <row r="23" customFormat="false" ht="52.2" hidden="false" customHeight="false" outlineLevel="0" collapsed="false">
      <c r="A23" s="11" t="s">
        <v>49</v>
      </c>
      <c r="B23" s="12" t="s">
        <v>50</v>
      </c>
      <c r="C23" s="13" t="s">
        <v>40</v>
      </c>
      <c r="D23" s="13" t="s">
        <v>138</v>
      </c>
      <c r="E23" s="13" t="s">
        <v>139</v>
      </c>
      <c r="F23" s="13" t="s">
        <v>140</v>
      </c>
    </row>
    <row r="24" customFormat="false" ht="52.2" hidden="false" customHeight="false" outlineLevel="0" collapsed="false">
      <c r="A24" s="11" t="s">
        <v>51</v>
      </c>
      <c r="B24" s="12" t="s">
        <v>52</v>
      </c>
      <c r="C24" s="13" t="s">
        <v>53</v>
      </c>
      <c r="D24" s="13" t="s">
        <v>141</v>
      </c>
      <c r="E24" s="13" t="s">
        <v>142</v>
      </c>
      <c r="F24" s="13" t="s">
        <v>143</v>
      </c>
    </row>
    <row r="25" customFormat="false" ht="52.2" hidden="false" customHeight="false" outlineLevel="0" collapsed="false">
      <c r="A25" s="11" t="s">
        <v>54</v>
      </c>
      <c r="B25" s="12" t="s">
        <v>55</v>
      </c>
      <c r="C25" s="13" t="s">
        <v>53</v>
      </c>
      <c r="D25" s="13" t="s">
        <v>144</v>
      </c>
      <c r="E25" s="13" t="s">
        <v>145</v>
      </c>
      <c r="F25" s="13" t="s">
        <v>146</v>
      </c>
    </row>
    <row r="26" customFormat="false" ht="39.55" hidden="false" customHeight="false" outlineLevel="0" collapsed="false">
      <c r="A26" s="11" t="s">
        <v>56</v>
      </c>
      <c r="B26" s="12" t="s">
        <v>57</v>
      </c>
      <c r="C26" s="13" t="s">
        <v>53</v>
      </c>
      <c r="D26" s="13" t="s">
        <v>147</v>
      </c>
      <c r="E26" s="13" t="s">
        <v>148</v>
      </c>
      <c r="F26" s="13" t="s">
        <v>149</v>
      </c>
    </row>
    <row r="27" customFormat="false" ht="26.85" hidden="false" customHeight="false" outlineLevel="0" collapsed="false">
      <c r="A27" s="11" t="s">
        <v>58</v>
      </c>
      <c r="B27" s="12" t="s">
        <v>59</v>
      </c>
      <c r="C27" s="13" t="s">
        <v>60</v>
      </c>
      <c r="D27" s="13" t="s">
        <v>150</v>
      </c>
      <c r="E27" s="13" t="s">
        <v>151</v>
      </c>
      <c r="F27" s="13" t="s">
        <v>152</v>
      </c>
    </row>
    <row r="28" customFormat="false" ht="26.85" hidden="false" customHeight="false" outlineLevel="0" collapsed="false">
      <c r="A28" s="11" t="s">
        <v>61</v>
      </c>
      <c r="B28" s="12" t="s">
        <v>62</v>
      </c>
      <c r="C28" s="13" t="s">
        <v>60</v>
      </c>
      <c r="D28" s="13" t="s">
        <v>153</v>
      </c>
      <c r="E28" s="13" t="s">
        <v>154</v>
      </c>
      <c r="F28" s="13" t="s">
        <v>155</v>
      </c>
    </row>
    <row r="29" customFormat="false" ht="26.85" hidden="false" customHeight="false" outlineLevel="0" collapsed="false">
      <c r="A29" s="11" t="s">
        <v>63</v>
      </c>
      <c r="B29" s="12" t="s">
        <v>64</v>
      </c>
      <c r="C29" s="13" t="s">
        <v>60</v>
      </c>
      <c r="D29" s="13" t="s">
        <v>156</v>
      </c>
      <c r="E29" s="13" t="s">
        <v>157</v>
      </c>
      <c r="F29" s="13" t="s">
        <v>158</v>
      </c>
    </row>
    <row r="30" customFormat="false" ht="26.85" hidden="false" customHeight="false" outlineLevel="0" collapsed="false">
      <c r="A30" s="11" t="s">
        <v>65</v>
      </c>
      <c r="B30" s="12" t="s">
        <v>66</v>
      </c>
      <c r="C30" s="13" t="s">
        <v>60</v>
      </c>
      <c r="D30" s="13" t="s">
        <v>150</v>
      </c>
      <c r="E30" s="13" t="s">
        <v>159</v>
      </c>
      <c r="F30" s="13" t="s">
        <v>160</v>
      </c>
    </row>
    <row r="31" customFormat="false" ht="26.85" hidden="false" customHeight="false" outlineLevel="0" collapsed="false">
      <c r="A31" s="11" t="s">
        <v>67</v>
      </c>
      <c r="B31" s="12" t="s">
        <v>68</v>
      </c>
      <c r="C31" s="13" t="s">
        <v>60</v>
      </c>
      <c r="D31" s="13" t="s">
        <v>161</v>
      </c>
      <c r="E31" s="13" t="s">
        <v>162</v>
      </c>
      <c r="F31" s="13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164</v>
      </c>
      <c r="B1" s="2"/>
      <c r="C1" s="2"/>
    </row>
    <row r="2" customFormat="false" ht="15" hidden="false" customHeight="false" outlineLevel="0" collapsed="false">
      <c r="A2" s="3" t="s">
        <v>165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0" t="s">
        <v>166</v>
      </c>
      <c r="B4" s="2"/>
      <c r="C4" s="2"/>
    </row>
    <row r="5" customFormat="false" ht="15" hidden="false" customHeight="false" outlineLevel="0" collapsed="false">
      <c r="A5" s="14" t="s">
        <v>167</v>
      </c>
      <c r="B5" s="2"/>
      <c r="C5" s="2"/>
    </row>
    <row r="6" customFormat="false" ht="15" hidden="false" customHeight="false" outlineLevel="0" collapsed="false">
      <c r="A6" s="2" t="s">
        <v>168</v>
      </c>
      <c r="B6" s="2"/>
      <c r="C6" s="2"/>
    </row>
    <row r="7" customFormat="false" ht="15" hidden="false" customHeight="false" outlineLevel="0" collapsed="false">
      <c r="A7" s="15" t="s">
        <v>169</v>
      </c>
      <c r="B7" s="2"/>
      <c r="C7" s="2"/>
    </row>
    <row r="8" customFormat="false" ht="15" hidden="false" customHeight="false" outlineLevel="0" collapsed="false">
      <c r="A8" s="16" t="s">
        <v>170</v>
      </c>
      <c r="B8" s="2"/>
      <c r="C8" s="2"/>
    </row>
    <row r="9" customFormat="false" ht="15" hidden="false" customHeight="false" outlineLevel="0" collapsed="false">
      <c r="A9" s="2" t="s">
        <v>171</v>
      </c>
      <c r="B9" s="2"/>
      <c r="C9" s="2"/>
    </row>
    <row r="10" customFormat="false" ht="15" hidden="false" customHeight="false" outlineLevel="0" collapsed="false">
      <c r="A10" s="2"/>
      <c r="B10" s="2"/>
      <c r="C10" s="2"/>
    </row>
    <row r="11" customFormat="false" ht="15" hidden="false" customHeight="false" outlineLevel="0" collapsed="false">
      <c r="A11" s="10" t="s">
        <v>172</v>
      </c>
      <c r="B11" s="2"/>
      <c r="C11" s="2"/>
    </row>
    <row r="12" customFormat="false" ht="15" hidden="false" customHeight="false" outlineLevel="0" collapsed="false">
      <c r="A12" s="2" t="s">
        <v>173</v>
      </c>
      <c r="B12" s="17" t="n">
        <v>1</v>
      </c>
      <c r="C12" s="2"/>
    </row>
    <row r="13" customFormat="false" ht="15" hidden="false" customHeight="false" outlineLevel="0" collapsed="false">
      <c r="A13" s="2" t="s">
        <v>174</v>
      </c>
      <c r="B13" s="18" t="n">
        <v>0.07</v>
      </c>
      <c r="C13" s="2" t="s">
        <v>175</v>
      </c>
    </row>
    <row r="14" customFormat="false" ht="15" hidden="false" customHeight="false" outlineLevel="0" collapsed="false">
      <c r="A14" s="2"/>
      <c r="B14" s="2"/>
      <c r="C14" s="2"/>
    </row>
    <row r="15" customFormat="false" ht="15" hidden="false" customHeight="false" outlineLevel="0" collapsed="false">
      <c r="A15" s="10" t="s">
        <v>176</v>
      </c>
      <c r="B15" s="2"/>
      <c r="C15" s="2"/>
    </row>
    <row r="16" customFormat="false" ht="31.5" hidden="false" customHeight="true" outlineLevel="0" collapsed="false">
      <c r="A16" s="4" t="s">
        <v>177</v>
      </c>
      <c r="B16" s="4" t="s">
        <v>178</v>
      </c>
      <c r="C16" s="4" t="s">
        <v>179</v>
      </c>
    </row>
    <row r="17" customFormat="false" ht="15" hidden="false" customHeight="false" outlineLevel="0" collapsed="false">
      <c r="A17" s="2" t="s">
        <v>15</v>
      </c>
      <c r="B17" s="19" t="n">
        <v>0.28</v>
      </c>
      <c r="C17" s="2" t="s">
        <v>74</v>
      </c>
    </row>
    <row r="18" customFormat="false" ht="15" hidden="false" customHeight="false" outlineLevel="0" collapsed="false">
      <c r="A18" s="2" t="s">
        <v>40</v>
      </c>
      <c r="B18" s="19" t="n">
        <v>0.35</v>
      </c>
      <c r="C18" s="2" t="s">
        <v>180</v>
      </c>
    </row>
    <row r="19" customFormat="false" ht="15" hidden="false" customHeight="false" outlineLevel="0" collapsed="false">
      <c r="A19" s="2" t="s">
        <v>53</v>
      </c>
      <c r="B19" s="19" t="n">
        <v>0.35</v>
      </c>
      <c r="C19" s="2" t="s">
        <v>181</v>
      </c>
    </row>
    <row r="20" customFormat="false" ht="15" hidden="false" customHeight="false" outlineLevel="0" collapsed="false">
      <c r="A20" s="2" t="s">
        <v>60</v>
      </c>
      <c r="B20" s="19" t="n">
        <v>0.25</v>
      </c>
      <c r="C20" s="2" t="s">
        <v>77</v>
      </c>
    </row>
    <row r="21" customFormat="false" ht="15" hidden="false" customHeight="false" outlineLevel="0" collapsed="false">
      <c r="A21" s="2"/>
      <c r="B21" s="2"/>
      <c r="C21" s="2"/>
    </row>
    <row r="22" customFormat="false" ht="15" hidden="false" customHeight="false" outlineLevel="0" collapsed="false">
      <c r="A22" s="10" t="s">
        <v>182</v>
      </c>
      <c r="B22" s="2"/>
      <c r="C22" s="2"/>
    </row>
    <row r="23" customFormat="false" ht="15" hidden="false" customHeight="false" outlineLevel="0" collapsed="false">
      <c r="A23" s="2" t="s">
        <v>183</v>
      </c>
      <c r="B23" s="6" t="n">
        <f aca="false">AVERAGE(Costeo!F27:F31)</f>
        <v>0.801840336134454</v>
      </c>
      <c r="C23" s="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185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186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1.5" hidden="false" customHeight="true" outlineLevel="0" collapsed="false">
      <c r="A4" s="4" t="s">
        <v>187</v>
      </c>
      <c r="B4" s="4" t="s">
        <v>188</v>
      </c>
      <c r="C4" s="4" t="s">
        <v>189</v>
      </c>
      <c r="D4" s="4" t="s">
        <v>190</v>
      </c>
      <c r="E4" s="4" t="s">
        <v>191</v>
      </c>
      <c r="F4" s="4" t="s">
        <v>192</v>
      </c>
      <c r="G4" s="4" t="s">
        <v>193</v>
      </c>
      <c r="H4" s="4" t="s">
        <v>194</v>
      </c>
      <c r="I4" s="4" t="s">
        <v>195</v>
      </c>
    </row>
    <row r="5" customFormat="false" ht="15" hidden="false" customHeight="false" outlineLevel="0" collapsed="false">
      <c r="A5" s="2" t="s">
        <v>196</v>
      </c>
      <c r="B5" s="3" t="s">
        <v>197</v>
      </c>
      <c r="C5" s="2" t="s">
        <v>198</v>
      </c>
      <c r="D5" s="2" t="s">
        <v>199</v>
      </c>
      <c r="E5" s="14" t="n">
        <v>1</v>
      </c>
      <c r="F5" s="2" t="s">
        <v>200</v>
      </c>
      <c r="G5" s="20" t="n">
        <v>3.5</v>
      </c>
      <c r="H5" s="21" t="n">
        <v>0.6</v>
      </c>
      <c r="I5" s="22" t="n">
        <f aca="false">IFERROR(G5/(E5*H5),0)</f>
        <v>5.83333333333333</v>
      </c>
    </row>
    <row r="6" customFormat="false" ht="15" hidden="false" customHeight="false" outlineLevel="0" collapsed="false">
      <c r="A6" s="2" t="s">
        <v>201</v>
      </c>
      <c r="B6" s="3" t="s">
        <v>202</v>
      </c>
      <c r="C6" s="2" t="s">
        <v>198</v>
      </c>
      <c r="D6" s="2" t="s">
        <v>199</v>
      </c>
      <c r="E6" s="14" t="n">
        <v>1</v>
      </c>
      <c r="F6" s="2" t="s">
        <v>200</v>
      </c>
      <c r="G6" s="20" t="n">
        <v>5</v>
      </c>
      <c r="H6" s="21" t="n">
        <v>0.85</v>
      </c>
      <c r="I6" s="22" t="n">
        <f aca="false">IFERROR(G6/(E6*H6),0)</f>
        <v>5.88235294117647</v>
      </c>
    </row>
    <row r="7" customFormat="false" ht="15" hidden="false" customHeight="false" outlineLevel="0" collapsed="false">
      <c r="A7" s="2" t="s">
        <v>203</v>
      </c>
      <c r="B7" s="3" t="s">
        <v>204</v>
      </c>
      <c r="C7" s="2" t="s">
        <v>198</v>
      </c>
      <c r="D7" s="2" t="s">
        <v>199</v>
      </c>
      <c r="E7" s="14" t="n">
        <v>1</v>
      </c>
      <c r="F7" s="2" t="s">
        <v>200</v>
      </c>
      <c r="G7" s="20" t="n">
        <v>4.5</v>
      </c>
      <c r="H7" s="21" t="n">
        <v>0.8</v>
      </c>
      <c r="I7" s="22" t="n">
        <f aca="false">IFERROR(G7/(E7*H7),0)</f>
        <v>5.625</v>
      </c>
    </row>
    <row r="8" customFormat="false" ht="15" hidden="false" customHeight="false" outlineLevel="0" collapsed="false">
      <c r="A8" s="2" t="s">
        <v>205</v>
      </c>
      <c r="B8" s="3" t="s">
        <v>206</v>
      </c>
      <c r="C8" s="2" t="s">
        <v>198</v>
      </c>
      <c r="D8" s="2" t="s">
        <v>199</v>
      </c>
      <c r="E8" s="14" t="n">
        <v>1</v>
      </c>
      <c r="F8" s="2" t="s">
        <v>200</v>
      </c>
      <c r="G8" s="20" t="n">
        <v>3</v>
      </c>
      <c r="H8" s="21" t="n">
        <v>0.9</v>
      </c>
      <c r="I8" s="22" t="n">
        <f aca="false">IFERROR(G8/(E8*H8),0)</f>
        <v>3.33333333333333</v>
      </c>
    </row>
    <row r="9" customFormat="false" ht="15" hidden="false" customHeight="false" outlineLevel="0" collapsed="false">
      <c r="A9" s="2" t="s">
        <v>207</v>
      </c>
      <c r="B9" s="3" t="s">
        <v>208</v>
      </c>
      <c r="C9" s="2" t="s">
        <v>198</v>
      </c>
      <c r="D9" s="2" t="s">
        <v>199</v>
      </c>
      <c r="E9" s="14" t="n">
        <v>1</v>
      </c>
      <c r="F9" s="2" t="s">
        <v>200</v>
      </c>
      <c r="G9" s="20" t="n">
        <v>1.6</v>
      </c>
      <c r="H9" s="21" t="n">
        <v>1</v>
      </c>
      <c r="I9" s="22" t="n">
        <f aca="false">IFERROR(G9/(E9*H9),0)</f>
        <v>1.6</v>
      </c>
    </row>
    <row r="10" customFormat="false" ht="15" hidden="false" customHeight="false" outlineLevel="0" collapsed="false">
      <c r="A10" s="2" t="s">
        <v>209</v>
      </c>
      <c r="B10" s="3" t="s">
        <v>210</v>
      </c>
      <c r="C10" s="2" t="s">
        <v>198</v>
      </c>
      <c r="D10" s="2" t="s">
        <v>199</v>
      </c>
      <c r="E10" s="14" t="n">
        <v>1</v>
      </c>
      <c r="F10" s="2" t="s">
        <v>200</v>
      </c>
      <c r="G10" s="20" t="n">
        <v>2.3</v>
      </c>
      <c r="H10" s="21" t="n">
        <v>0.95</v>
      </c>
      <c r="I10" s="22" t="n">
        <f aca="false">IFERROR(G10/(E10*H10),0)</f>
        <v>2.42105263157895</v>
      </c>
    </row>
    <row r="11" customFormat="false" ht="15" hidden="false" customHeight="false" outlineLevel="0" collapsed="false">
      <c r="A11" s="2" t="s">
        <v>211</v>
      </c>
      <c r="B11" s="3" t="s">
        <v>212</v>
      </c>
      <c r="C11" s="2" t="s">
        <v>198</v>
      </c>
      <c r="D11" s="2" t="s">
        <v>213</v>
      </c>
      <c r="E11" s="14" t="n">
        <v>10</v>
      </c>
      <c r="F11" s="2" t="s">
        <v>214</v>
      </c>
      <c r="G11" s="20" t="n">
        <v>12.5</v>
      </c>
      <c r="H11" s="21" t="n">
        <v>1</v>
      </c>
      <c r="I11" s="22" t="n">
        <f aca="false">IFERROR(G11/(E11*H11),0)</f>
        <v>1.25</v>
      </c>
    </row>
    <row r="12" customFormat="false" ht="15" hidden="false" customHeight="false" outlineLevel="0" collapsed="false">
      <c r="A12" s="2" t="s">
        <v>215</v>
      </c>
      <c r="B12" s="3" t="s">
        <v>216</v>
      </c>
      <c r="C12" s="2" t="s">
        <v>198</v>
      </c>
      <c r="D12" s="2" t="s">
        <v>213</v>
      </c>
      <c r="E12" s="14" t="n">
        <v>10</v>
      </c>
      <c r="F12" s="2" t="s">
        <v>214</v>
      </c>
      <c r="G12" s="20" t="n">
        <v>11</v>
      </c>
      <c r="H12" s="21" t="n">
        <v>1</v>
      </c>
      <c r="I12" s="22" t="n">
        <f aca="false">IFERROR(G12/(E12*H12),0)</f>
        <v>1.1</v>
      </c>
    </row>
    <row r="13" customFormat="false" ht="15" hidden="false" customHeight="false" outlineLevel="0" collapsed="false">
      <c r="A13" s="2" t="s">
        <v>217</v>
      </c>
      <c r="B13" s="3" t="s">
        <v>218</v>
      </c>
      <c r="C13" s="2" t="s">
        <v>219</v>
      </c>
      <c r="D13" s="2" t="s">
        <v>199</v>
      </c>
      <c r="E13" s="14" t="n">
        <v>1</v>
      </c>
      <c r="F13" s="2" t="s">
        <v>200</v>
      </c>
      <c r="G13" s="20" t="n">
        <v>7</v>
      </c>
      <c r="H13" s="21" t="n">
        <v>0.6</v>
      </c>
      <c r="I13" s="22" t="n">
        <f aca="false">IFERROR(G13/(E13*H13),0)</f>
        <v>11.6666666666667</v>
      </c>
    </row>
    <row r="14" customFormat="false" ht="15" hidden="false" customHeight="false" outlineLevel="0" collapsed="false">
      <c r="A14" s="2" t="s">
        <v>220</v>
      </c>
      <c r="B14" s="3" t="s">
        <v>221</v>
      </c>
      <c r="C14" s="2" t="s">
        <v>219</v>
      </c>
      <c r="D14" s="2" t="s">
        <v>199</v>
      </c>
      <c r="E14" s="14" t="n">
        <v>1</v>
      </c>
      <c r="F14" s="2" t="s">
        <v>200</v>
      </c>
      <c r="G14" s="20" t="n">
        <v>3.5</v>
      </c>
      <c r="H14" s="21" t="n">
        <v>1</v>
      </c>
      <c r="I14" s="22" t="n">
        <f aca="false">IFERROR(G14/(E14*H14),0)</f>
        <v>3.5</v>
      </c>
    </row>
    <row r="15" customFormat="false" ht="15" hidden="false" customHeight="false" outlineLevel="0" collapsed="false">
      <c r="A15" s="2" t="s">
        <v>222</v>
      </c>
      <c r="B15" s="3" t="s">
        <v>222</v>
      </c>
      <c r="C15" s="2" t="s">
        <v>223</v>
      </c>
      <c r="D15" s="2" t="s">
        <v>199</v>
      </c>
      <c r="E15" s="14" t="n">
        <v>1</v>
      </c>
      <c r="F15" s="2" t="s">
        <v>200</v>
      </c>
      <c r="G15" s="20" t="n">
        <v>11</v>
      </c>
      <c r="H15" s="21" t="n">
        <v>0.9</v>
      </c>
      <c r="I15" s="22" t="n">
        <f aca="false">IFERROR(G15/(E15*H15),0)</f>
        <v>12.2222222222222</v>
      </c>
    </row>
    <row r="16" customFormat="false" ht="15" hidden="false" customHeight="false" outlineLevel="0" collapsed="false">
      <c r="A16" s="2" t="s">
        <v>224</v>
      </c>
      <c r="B16" s="3" t="s">
        <v>225</v>
      </c>
      <c r="C16" s="2" t="s">
        <v>223</v>
      </c>
      <c r="D16" s="2" t="s">
        <v>199</v>
      </c>
      <c r="E16" s="14" t="n">
        <v>1</v>
      </c>
      <c r="F16" s="2" t="s">
        <v>200</v>
      </c>
      <c r="G16" s="20" t="n">
        <v>12</v>
      </c>
      <c r="H16" s="21" t="n">
        <v>0.85</v>
      </c>
      <c r="I16" s="22" t="n">
        <f aca="false">IFERROR(G16/(E16*H16),0)</f>
        <v>14.1176470588235</v>
      </c>
    </row>
    <row r="17" customFormat="false" ht="15" hidden="false" customHeight="false" outlineLevel="0" collapsed="false">
      <c r="A17" s="2" t="s">
        <v>226</v>
      </c>
      <c r="B17" s="3" t="s">
        <v>227</v>
      </c>
      <c r="C17" s="2" t="s">
        <v>219</v>
      </c>
      <c r="D17" s="2" t="s">
        <v>199</v>
      </c>
      <c r="E17" s="14" t="n">
        <v>1</v>
      </c>
      <c r="F17" s="2" t="s">
        <v>200</v>
      </c>
      <c r="G17" s="20" t="n">
        <v>10</v>
      </c>
      <c r="H17" s="21" t="n">
        <v>0.9</v>
      </c>
      <c r="I17" s="22" t="n">
        <f aca="false">IFERROR(G17/(E17*H17),0)</f>
        <v>11.1111111111111</v>
      </c>
    </row>
    <row r="18" customFormat="false" ht="15" hidden="false" customHeight="false" outlineLevel="0" collapsed="false">
      <c r="A18" s="2" t="s">
        <v>228</v>
      </c>
      <c r="B18" s="3" t="s">
        <v>229</v>
      </c>
      <c r="C18" s="2" t="s">
        <v>230</v>
      </c>
      <c r="D18" s="2" t="s">
        <v>231</v>
      </c>
      <c r="E18" s="14" t="n">
        <v>12</v>
      </c>
      <c r="F18" s="2" t="s">
        <v>214</v>
      </c>
      <c r="G18" s="20" t="n">
        <v>6.6</v>
      </c>
      <c r="H18" s="21" t="n">
        <v>1</v>
      </c>
      <c r="I18" s="22" t="n">
        <f aca="false">IFERROR(G18/(E18*H18),0)</f>
        <v>0.55</v>
      </c>
    </row>
    <row r="19" customFormat="false" ht="15" hidden="false" customHeight="false" outlineLevel="0" collapsed="false">
      <c r="A19" s="2" t="s">
        <v>232</v>
      </c>
      <c r="B19" s="3" t="s">
        <v>233</v>
      </c>
      <c r="C19" s="2" t="s">
        <v>230</v>
      </c>
      <c r="D19" s="2" t="s">
        <v>234</v>
      </c>
      <c r="E19" s="14" t="n">
        <v>24</v>
      </c>
      <c r="F19" s="2" t="s">
        <v>214</v>
      </c>
      <c r="G19" s="20" t="n">
        <v>6</v>
      </c>
      <c r="H19" s="21" t="n">
        <v>1</v>
      </c>
      <c r="I19" s="22" t="n">
        <f aca="false">IFERROR(G19/(E19*H19),0)</f>
        <v>0.25</v>
      </c>
    </row>
    <row r="20" customFormat="false" ht="15" hidden="false" customHeight="false" outlineLevel="0" collapsed="false">
      <c r="A20" s="2" t="s">
        <v>235</v>
      </c>
      <c r="B20" s="3" t="s">
        <v>236</v>
      </c>
      <c r="C20" s="2" t="s">
        <v>230</v>
      </c>
      <c r="D20" s="2" t="s">
        <v>231</v>
      </c>
      <c r="E20" s="14" t="n">
        <v>12</v>
      </c>
      <c r="F20" s="2" t="s">
        <v>214</v>
      </c>
      <c r="G20" s="20" t="n">
        <v>4.2</v>
      </c>
      <c r="H20" s="21" t="n">
        <v>1</v>
      </c>
      <c r="I20" s="22" t="n">
        <f aca="false">IFERROR(G20/(E20*H20),0)</f>
        <v>0.35</v>
      </c>
    </row>
    <row r="21" customFormat="false" ht="15" hidden="false" customHeight="false" outlineLevel="0" collapsed="false">
      <c r="A21" s="2" t="s">
        <v>237</v>
      </c>
      <c r="B21" s="3" t="s">
        <v>238</v>
      </c>
      <c r="C21" s="2" t="s">
        <v>230</v>
      </c>
      <c r="D21" s="2" t="s">
        <v>239</v>
      </c>
      <c r="E21" s="14" t="n">
        <v>20</v>
      </c>
      <c r="F21" s="2" t="s">
        <v>214</v>
      </c>
      <c r="G21" s="20" t="n">
        <v>2.5</v>
      </c>
      <c r="H21" s="21" t="n">
        <v>1</v>
      </c>
      <c r="I21" s="22" t="n">
        <f aca="false">IFERROR(G21/(E21*H21),0)</f>
        <v>0.125</v>
      </c>
    </row>
    <row r="22" customFormat="false" ht="15" hidden="false" customHeight="false" outlineLevel="0" collapsed="false">
      <c r="A22" s="2" t="s">
        <v>240</v>
      </c>
      <c r="B22" s="3" t="s">
        <v>241</v>
      </c>
      <c r="C22" s="2" t="s">
        <v>230</v>
      </c>
      <c r="D22" s="2" t="s">
        <v>242</v>
      </c>
      <c r="E22" s="14" t="n">
        <v>30</v>
      </c>
      <c r="F22" s="2" t="s">
        <v>214</v>
      </c>
      <c r="G22" s="20" t="n">
        <v>3</v>
      </c>
      <c r="H22" s="21" t="n">
        <v>1</v>
      </c>
      <c r="I22" s="22" t="n">
        <f aca="false">IFERROR(G22/(E22*H22),0)</f>
        <v>0.1</v>
      </c>
    </row>
    <row r="23" customFormat="false" ht="15" hidden="false" customHeight="false" outlineLevel="0" collapsed="false">
      <c r="A23" s="2" t="s">
        <v>243</v>
      </c>
      <c r="B23" s="3" t="s">
        <v>244</v>
      </c>
      <c r="C23" s="2" t="s">
        <v>230</v>
      </c>
      <c r="D23" s="2" t="s">
        <v>213</v>
      </c>
      <c r="E23" s="14" t="n">
        <v>10</v>
      </c>
      <c r="F23" s="2" t="s">
        <v>214</v>
      </c>
      <c r="G23" s="20" t="n">
        <v>2.2</v>
      </c>
      <c r="H23" s="21" t="n">
        <v>1</v>
      </c>
      <c r="I23" s="22" t="n">
        <f aca="false">IFERROR(G23/(E23*H23),0)</f>
        <v>0.22</v>
      </c>
    </row>
    <row r="24" customFormat="false" ht="15" hidden="false" customHeight="false" outlineLevel="0" collapsed="false">
      <c r="A24" s="2" t="s">
        <v>245</v>
      </c>
      <c r="B24" s="3" t="s">
        <v>246</v>
      </c>
      <c r="C24" s="2" t="s">
        <v>247</v>
      </c>
      <c r="D24" s="2" t="s">
        <v>248</v>
      </c>
      <c r="E24" s="14" t="n">
        <v>80</v>
      </c>
      <c r="F24" s="2" t="s">
        <v>249</v>
      </c>
      <c r="G24" s="20" t="n">
        <v>4</v>
      </c>
      <c r="H24" s="21" t="n">
        <v>1</v>
      </c>
      <c r="I24" s="22" t="n">
        <f aca="false">IFERROR(G24/(E24*H24),0)</f>
        <v>0.05</v>
      </c>
    </row>
    <row r="25" customFormat="false" ht="15" hidden="false" customHeight="false" outlineLevel="0" collapsed="false">
      <c r="A25" s="2" t="s">
        <v>250</v>
      </c>
      <c r="B25" s="3" t="s">
        <v>251</v>
      </c>
      <c r="C25" s="2" t="s">
        <v>247</v>
      </c>
      <c r="D25" s="2" t="s">
        <v>248</v>
      </c>
      <c r="E25" s="14" t="n">
        <v>80</v>
      </c>
      <c r="F25" s="2" t="s">
        <v>249</v>
      </c>
      <c r="G25" s="20" t="n">
        <v>5</v>
      </c>
      <c r="H25" s="21" t="n">
        <v>1</v>
      </c>
      <c r="I25" s="22" t="n">
        <f aca="false">IFERROR(G25/(E25*H25),0)</f>
        <v>0.0625</v>
      </c>
    </row>
    <row r="26" customFormat="false" ht="15" hidden="false" customHeight="false" outlineLevel="0" collapsed="false">
      <c r="A26" s="2" t="s">
        <v>252</v>
      </c>
      <c r="B26" s="3" t="s">
        <v>253</v>
      </c>
      <c r="C26" s="2" t="s">
        <v>247</v>
      </c>
      <c r="D26" s="2" t="s">
        <v>254</v>
      </c>
      <c r="E26" s="14" t="n">
        <v>1</v>
      </c>
      <c r="F26" s="2" t="s">
        <v>200</v>
      </c>
      <c r="G26" s="20" t="n">
        <v>1.5</v>
      </c>
      <c r="H26" s="21" t="n">
        <v>1</v>
      </c>
      <c r="I26" s="22" t="n">
        <f aca="false">IFERROR(G26/(E26*H26),0)</f>
        <v>1.5</v>
      </c>
    </row>
    <row r="27" customFormat="false" ht="15" hidden="false" customHeight="false" outlineLevel="0" collapsed="false">
      <c r="A27" s="2" t="s">
        <v>255</v>
      </c>
      <c r="B27" s="3" t="s">
        <v>256</v>
      </c>
      <c r="C27" s="2" t="s">
        <v>257</v>
      </c>
      <c r="D27" s="2" t="s">
        <v>258</v>
      </c>
      <c r="E27" s="14" t="n">
        <v>24</v>
      </c>
      <c r="F27" s="2" t="s">
        <v>214</v>
      </c>
      <c r="G27" s="20" t="n">
        <v>4.8</v>
      </c>
      <c r="H27" s="21" t="n">
        <v>1</v>
      </c>
      <c r="I27" s="22" t="n">
        <f aca="false">IFERROR(G27/(E27*H27),0)</f>
        <v>0.2</v>
      </c>
    </row>
    <row r="28" customFormat="false" ht="15" hidden="false" customHeight="false" outlineLevel="0" collapsed="false">
      <c r="A28" s="2" t="s">
        <v>259</v>
      </c>
      <c r="B28" s="3" t="s">
        <v>260</v>
      </c>
      <c r="C28" s="2" t="s">
        <v>257</v>
      </c>
      <c r="D28" s="2" t="s">
        <v>248</v>
      </c>
      <c r="E28" s="14" t="n">
        <v>80</v>
      </c>
      <c r="F28" s="2" t="s">
        <v>249</v>
      </c>
      <c r="G28" s="20" t="n">
        <v>20</v>
      </c>
      <c r="H28" s="21" t="n">
        <v>1</v>
      </c>
      <c r="I28" s="22" t="n">
        <f aca="false">IFERROR(G28/(E28*H28),0)</f>
        <v>0.25</v>
      </c>
    </row>
    <row r="29" customFormat="false" ht="15" hidden="false" customHeight="false" outlineLevel="0" collapsed="false">
      <c r="A29" s="2" t="s">
        <v>261</v>
      </c>
      <c r="B29" s="3" t="s">
        <v>262</v>
      </c>
      <c r="C29" s="2" t="s">
        <v>257</v>
      </c>
      <c r="D29" s="2" t="s">
        <v>263</v>
      </c>
      <c r="E29" s="14" t="n">
        <v>48</v>
      </c>
      <c r="F29" s="2" t="s">
        <v>249</v>
      </c>
      <c r="G29" s="20" t="n">
        <v>9.6</v>
      </c>
      <c r="H29" s="21" t="n">
        <v>1</v>
      </c>
      <c r="I29" s="22" t="n">
        <f aca="false">IFERROR(G29/(E29*H29),0)</f>
        <v>0.2</v>
      </c>
    </row>
    <row r="30" customFormat="false" ht="15" hidden="false" customHeight="false" outlineLevel="0" collapsed="false">
      <c r="A30" s="2" t="s">
        <v>264</v>
      </c>
      <c r="B30" s="3" t="s">
        <v>265</v>
      </c>
      <c r="C30" s="2" t="s">
        <v>257</v>
      </c>
      <c r="D30" s="2" t="s">
        <v>266</v>
      </c>
      <c r="E30" s="14" t="n">
        <v>16</v>
      </c>
      <c r="F30" s="2" t="s">
        <v>249</v>
      </c>
      <c r="G30" s="20" t="n">
        <v>8</v>
      </c>
      <c r="H30" s="21" t="n">
        <v>1</v>
      </c>
      <c r="I30" s="22" t="n">
        <f aca="false">IFERROR(G30/(E30*H30),0)</f>
        <v>0.5</v>
      </c>
    </row>
    <row r="31" customFormat="false" ht="15" hidden="false" customHeight="false" outlineLevel="0" collapsed="false">
      <c r="A31" s="2" t="s">
        <v>267</v>
      </c>
      <c r="B31" s="3" t="s">
        <v>268</v>
      </c>
      <c r="C31" s="2" t="s">
        <v>257</v>
      </c>
      <c r="D31" s="2" t="s">
        <v>199</v>
      </c>
      <c r="E31" s="14" t="n">
        <v>1</v>
      </c>
      <c r="F31" s="2" t="s">
        <v>200</v>
      </c>
      <c r="G31" s="20" t="n">
        <v>4</v>
      </c>
      <c r="H31" s="21" t="n">
        <v>1</v>
      </c>
      <c r="I31" s="22" t="n">
        <f aca="false">IFERROR(G31/(E31*H31),0)</f>
        <v>4</v>
      </c>
    </row>
    <row r="32" customFormat="false" ht="15" hidden="false" customHeight="false" outlineLevel="0" collapsed="false">
      <c r="A32" s="2" t="s">
        <v>269</v>
      </c>
      <c r="B32" s="3" t="s">
        <v>270</v>
      </c>
      <c r="C32" s="2" t="s">
        <v>271</v>
      </c>
      <c r="D32" s="2" t="s">
        <v>272</v>
      </c>
      <c r="E32" s="14" t="n">
        <v>128</v>
      </c>
      <c r="F32" s="2" t="s">
        <v>249</v>
      </c>
      <c r="G32" s="20" t="n">
        <v>14</v>
      </c>
      <c r="H32" s="21" t="n">
        <v>1</v>
      </c>
      <c r="I32" s="22" t="n">
        <f aca="false">IFERROR(G32/(E32*H32),0)</f>
        <v>0.109375</v>
      </c>
    </row>
    <row r="33" customFormat="false" ht="15" hidden="false" customHeight="false" outlineLevel="0" collapsed="false">
      <c r="A33" s="2" t="s">
        <v>273</v>
      </c>
      <c r="B33" s="3" t="s">
        <v>274</v>
      </c>
      <c r="C33" s="2" t="s">
        <v>271</v>
      </c>
      <c r="D33" s="2" t="s">
        <v>275</v>
      </c>
      <c r="E33" s="14" t="n">
        <v>32</v>
      </c>
      <c r="F33" s="2" t="s">
        <v>249</v>
      </c>
      <c r="G33" s="20" t="n">
        <v>4.8</v>
      </c>
      <c r="H33" s="21" t="n">
        <v>1</v>
      </c>
      <c r="I33" s="22" t="n">
        <f aca="false">IFERROR(G33/(E33*H33),0)</f>
        <v>0.15</v>
      </c>
    </row>
    <row r="34" customFormat="false" ht="15" hidden="false" customHeight="false" outlineLevel="0" collapsed="false">
      <c r="A34" s="2" t="s">
        <v>276</v>
      </c>
      <c r="B34" s="3" t="s">
        <v>276</v>
      </c>
      <c r="C34" s="2" t="s">
        <v>277</v>
      </c>
      <c r="D34" s="2" t="s">
        <v>278</v>
      </c>
      <c r="E34" s="14" t="n">
        <v>1</v>
      </c>
      <c r="F34" s="2" t="s">
        <v>214</v>
      </c>
      <c r="G34" s="20" t="n">
        <v>0.1</v>
      </c>
      <c r="H34" s="21" t="n">
        <v>1</v>
      </c>
      <c r="I34" s="22" t="n">
        <f aca="false">IFERROR(G34/(E34*H34),0)</f>
        <v>0.1</v>
      </c>
    </row>
    <row r="35" customFormat="false" ht="15" hidden="false" customHeight="false" outlineLevel="0" collapsed="false">
      <c r="A35" s="2" t="s">
        <v>279</v>
      </c>
      <c r="B35" s="3" t="s">
        <v>280</v>
      </c>
      <c r="C35" s="2" t="s">
        <v>277</v>
      </c>
      <c r="D35" s="2" t="s">
        <v>278</v>
      </c>
      <c r="E35" s="14" t="n">
        <v>1</v>
      </c>
      <c r="F35" s="2" t="s">
        <v>214</v>
      </c>
      <c r="G35" s="20" t="n">
        <v>0.35</v>
      </c>
      <c r="H35" s="21" t="n">
        <v>1</v>
      </c>
      <c r="I35" s="22" t="n">
        <f aca="false">IFERROR(G35/(E35*H35),0)</f>
        <v>0.35</v>
      </c>
    </row>
    <row r="36" customFormat="false" ht="15" hidden="false" customHeight="false" outlineLevel="0" collapsed="false">
      <c r="A36" s="2" t="s">
        <v>281</v>
      </c>
      <c r="B36" s="3" t="s">
        <v>282</v>
      </c>
      <c r="C36" s="2" t="s">
        <v>277</v>
      </c>
      <c r="D36" s="2" t="s">
        <v>199</v>
      </c>
      <c r="E36" s="14" t="n">
        <v>1</v>
      </c>
      <c r="F36" s="2" t="s">
        <v>200</v>
      </c>
      <c r="G36" s="20" t="n">
        <v>0.8</v>
      </c>
      <c r="H36" s="21" t="n">
        <v>0.7</v>
      </c>
      <c r="I36" s="22" t="n">
        <f aca="false">IFERROR(G36/(E36*H36),0)</f>
        <v>1.14285714285714</v>
      </c>
    </row>
    <row r="37" customFormat="false" ht="15" hidden="false" customHeight="false" outlineLevel="0" collapsed="false">
      <c r="A37" s="2" t="s">
        <v>283</v>
      </c>
      <c r="B37" s="3" t="s">
        <v>284</v>
      </c>
      <c r="C37" s="2" t="s">
        <v>277</v>
      </c>
      <c r="D37" s="2" t="s">
        <v>285</v>
      </c>
      <c r="E37" s="14" t="n">
        <v>5</v>
      </c>
      <c r="F37" s="2" t="s">
        <v>200</v>
      </c>
      <c r="G37" s="20" t="n">
        <v>7</v>
      </c>
      <c r="H37" s="21" t="n">
        <v>1</v>
      </c>
      <c r="I37" s="22" t="n">
        <f aca="false">IFERROR(G37/(E37*H37),0)</f>
        <v>1.4</v>
      </c>
    </row>
    <row r="38" customFormat="false" ht="15" hidden="false" customHeight="false" outlineLevel="0" collapsed="false">
      <c r="A38" s="2" t="s">
        <v>286</v>
      </c>
      <c r="B38" s="3" t="s">
        <v>287</v>
      </c>
      <c r="C38" s="2" t="s">
        <v>277</v>
      </c>
      <c r="D38" s="2" t="s">
        <v>199</v>
      </c>
      <c r="E38" s="14" t="n">
        <v>1</v>
      </c>
      <c r="F38" s="2" t="s">
        <v>200</v>
      </c>
      <c r="G38" s="20" t="n">
        <v>1.8</v>
      </c>
      <c r="H38" s="21" t="n">
        <v>0.85</v>
      </c>
      <c r="I38" s="22" t="n">
        <f aca="false">IFERROR(G38/(E38*H38),0)</f>
        <v>2.11764705882353</v>
      </c>
    </row>
    <row r="39" customFormat="false" ht="15" hidden="false" customHeight="false" outlineLevel="0" collapsed="false">
      <c r="A39" s="2" t="s">
        <v>288</v>
      </c>
      <c r="B39" s="3" t="s">
        <v>289</v>
      </c>
      <c r="C39" s="2" t="s">
        <v>277</v>
      </c>
      <c r="D39" s="2" t="s">
        <v>278</v>
      </c>
      <c r="E39" s="14" t="n">
        <v>1</v>
      </c>
      <c r="F39" s="2" t="s">
        <v>214</v>
      </c>
      <c r="G39" s="20" t="n">
        <v>0.15</v>
      </c>
      <c r="H39" s="21" t="n">
        <v>1</v>
      </c>
      <c r="I39" s="22" t="n">
        <f aca="false">IFERROR(G39/(E39*H39),0)</f>
        <v>0.15</v>
      </c>
    </row>
    <row r="40" customFormat="false" ht="15" hidden="false" customHeight="false" outlineLevel="0" collapsed="false">
      <c r="A40" s="2" t="s">
        <v>290</v>
      </c>
      <c r="B40" s="3" t="s">
        <v>291</v>
      </c>
      <c r="C40" s="2" t="s">
        <v>277</v>
      </c>
      <c r="D40" s="2" t="s">
        <v>199</v>
      </c>
      <c r="E40" s="14" t="n">
        <v>1</v>
      </c>
      <c r="F40" s="2" t="s">
        <v>200</v>
      </c>
      <c r="G40" s="20" t="n">
        <v>0.8</v>
      </c>
      <c r="H40" s="21" t="n">
        <v>0.9</v>
      </c>
      <c r="I40" s="22" t="n">
        <f aca="false">IFERROR(G40/(E40*H40),0)</f>
        <v>0.888888888888889</v>
      </c>
    </row>
    <row r="41" customFormat="false" ht="15" hidden="false" customHeight="false" outlineLevel="0" collapsed="false">
      <c r="A41" s="2" t="s">
        <v>292</v>
      </c>
      <c r="B41" s="3" t="s">
        <v>292</v>
      </c>
      <c r="C41" s="2" t="s">
        <v>277</v>
      </c>
      <c r="D41" s="2" t="s">
        <v>293</v>
      </c>
      <c r="E41" s="14" t="n">
        <v>1</v>
      </c>
      <c r="F41" s="2" t="s">
        <v>294</v>
      </c>
      <c r="G41" s="20" t="n">
        <v>0.5</v>
      </c>
      <c r="H41" s="21" t="n">
        <v>1</v>
      </c>
      <c r="I41" s="22" t="n">
        <f aca="false">IFERROR(G41/(E41*H41),0)</f>
        <v>0.5</v>
      </c>
    </row>
    <row r="42" customFormat="false" ht="15" hidden="false" customHeight="false" outlineLevel="0" collapsed="false">
      <c r="A42" s="2" t="s">
        <v>295</v>
      </c>
      <c r="B42" s="3" t="s">
        <v>296</v>
      </c>
      <c r="C42" s="2" t="s">
        <v>247</v>
      </c>
      <c r="D42" s="2" t="s">
        <v>297</v>
      </c>
      <c r="E42" s="14" t="n">
        <v>33.8</v>
      </c>
      <c r="F42" s="2" t="s">
        <v>249</v>
      </c>
      <c r="G42" s="20" t="n">
        <v>13.5</v>
      </c>
      <c r="H42" s="21" t="n">
        <v>1</v>
      </c>
      <c r="I42" s="22" t="n">
        <f aca="false">IFERROR(G42/(E42*H42),0)</f>
        <v>0.399408284023669</v>
      </c>
    </row>
    <row r="43" customFormat="false" ht="15" hidden="false" customHeight="false" outlineLevel="0" collapsed="false">
      <c r="A43" s="2" t="s">
        <v>298</v>
      </c>
      <c r="B43" s="3" t="s">
        <v>299</v>
      </c>
      <c r="C43" s="2" t="s">
        <v>247</v>
      </c>
      <c r="D43" s="2" t="s">
        <v>300</v>
      </c>
      <c r="E43" s="14" t="n">
        <v>1</v>
      </c>
      <c r="F43" s="2" t="s">
        <v>214</v>
      </c>
      <c r="G43" s="20" t="n">
        <v>0.25</v>
      </c>
      <c r="H43" s="21" t="n">
        <v>1</v>
      </c>
      <c r="I43" s="22" t="n">
        <f aca="false">IFERROR(G43/(E43*H43),0)</f>
        <v>0.25</v>
      </c>
    </row>
    <row r="44" customFormat="false" ht="15" hidden="false" customHeight="false" outlineLevel="0" collapsed="false">
      <c r="A44" s="2" t="s">
        <v>301</v>
      </c>
      <c r="B44" s="3" t="s">
        <v>302</v>
      </c>
      <c r="C44" s="2" t="s">
        <v>247</v>
      </c>
      <c r="D44" s="2" t="s">
        <v>303</v>
      </c>
      <c r="E44" s="14" t="n">
        <v>1</v>
      </c>
      <c r="F44" s="2" t="s">
        <v>214</v>
      </c>
      <c r="G44" s="20" t="n">
        <v>0.25</v>
      </c>
      <c r="H44" s="21" t="n">
        <v>1</v>
      </c>
      <c r="I44" s="22" t="n">
        <f aca="false">IFERROR(G44/(E44*H44),0)</f>
        <v>0.25</v>
      </c>
    </row>
    <row r="45" customFormat="false" ht="15" hidden="false" customHeight="false" outlineLevel="0" collapsed="false">
      <c r="A45" s="2" t="s">
        <v>304</v>
      </c>
      <c r="B45" s="3" t="s">
        <v>305</v>
      </c>
      <c r="C45" s="2" t="s">
        <v>306</v>
      </c>
      <c r="D45" s="2" t="s">
        <v>307</v>
      </c>
      <c r="E45" s="14" t="n">
        <v>1</v>
      </c>
      <c r="F45" s="2" t="s">
        <v>214</v>
      </c>
      <c r="G45" s="20" t="n">
        <v>0.3</v>
      </c>
      <c r="H45" s="21" t="n">
        <v>1</v>
      </c>
      <c r="I45" s="22" t="n">
        <f aca="false">IFERROR(G45/(E45*H45),0)</f>
        <v>0.3</v>
      </c>
    </row>
    <row r="46" customFormat="false" ht="15" hidden="false" customHeight="false" outlineLevel="0" collapsed="false">
      <c r="A46" s="2" t="s">
        <v>308</v>
      </c>
      <c r="B46" s="3" t="s">
        <v>309</v>
      </c>
      <c r="C46" s="2" t="s">
        <v>306</v>
      </c>
      <c r="D46" s="2" t="s">
        <v>310</v>
      </c>
      <c r="E46" s="14" t="n">
        <v>1</v>
      </c>
      <c r="F46" s="2" t="s">
        <v>214</v>
      </c>
      <c r="G46" s="20" t="n">
        <v>0.2</v>
      </c>
      <c r="H46" s="21" t="n">
        <v>1</v>
      </c>
      <c r="I46" s="22" t="n">
        <f aca="false">IFERROR(G46/(E46*H46),0)</f>
        <v>0.2</v>
      </c>
    </row>
    <row r="47" customFormat="false" ht="15" hidden="false" customHeight="false" outlineLevel="0" collapsed="false">
      <c r="A47" s="2" t="s">
        <v>311</v>
      </c>
      <c r="B47" s="3" t="s">
        <v>311</v>
      </c>
      <c r="C47" s="2" t="s">
        <v>312</v>
      </c>
      <c r="D47" s="2" t="s">
        <v>313</v>
      </c>
      <c r="E47" s="2"/>
      <c r="F47" s="2" t="s">
        <v>249</v>
      </c>
      <c r="G47" s="2"/>
      <c r="H47" s="2"/>
      <c r="I47" s="23" t="n">
        <f aca="false">Preparaciones!$F$12</f>
        <v>0.21875</v>
      </c>
    </row>
    <row r="48" customFormat="false" ht="15" hidden="false" customHeight="false" outlineLevel="0" collapsed="false">
      <c r="A48" s="2" t="s">
        <v>314</v>
      </c>
      <c r="B48" s="3" t="s">
        <v>314</v>
      </c>
      <c r="C48" s="2" t="s">
        <v>312</v>
      </c>
      <c r="D48" s="2" t="s">
        <v>313</v>
      </c>
      <c r="E48" s="2"/>
      <c r="F48" s="2" t="s">
        <v>249</v>
      </c>
      <c r="G48" s="2"/>
      <c r="H48" s="2"/>
      <c r="I48" s="23" t="n">
        <f aca="false">Preparaciones!$F$21</f>
        <v>0.1025</v>
      </c>
    </row>
    <row r="49" customFormat="false" ht="15" hidden="false" customHeight="false" outlineLevel="0" collapsed="false">
      <c r="A49" s="2" t="s">
        <v>315</v>
      </c>
      <c r="B49" s="3" t="s">
        <v>316</v>
      </c>
      <c r="C49" s="2" t="s">
        <v>312</v>
      </c>
      <c r="D49" s="2" t="s">
        <v>313</v>
      </c>
      <c r="E49" s="2"/>
      <c r="F49" s="2" t="s">
        <v>249</v>
      </c>
      <c r="G49" s="2"/>
      <c r="H49" s="2"/>
      <c r="I49" s="23" t="n">
        <f aca="false">Preparaciones!$F$29</f>
        <v>0.290625</v>
      </c>
    </row>
    <row r="50" customFormat="false" ht="15" hidden="false" customHeight="false" outlineLevel="0" collapsed="false">
      <c r="A50" s="2" t="s">
        <v>317</v>
      </c>
      <c r="B50" s="3" t="s">
        <v>318</v>
      </c>
      <c r="C50" s="2" t="s">
        <v>312</v>
      </c>
      <c r="D50" s="2" t="s">
        <v>313</v>
      </c>
      <c r="E50" s="2"/>
      <c r="F50" s="2" t="s">
        <v>249</v>
      </c>
      <c r="G50" s="2"/>
      <c r="H50" s="2"/>
      <c r="I50" s="23" t="n">
        <f aca="false">Preparaciones!$F$35</f>
        <v>0.163333333333333</v>
      </c>
    </row>
    <row r="51" customFormat="false" ht="15" hidden="false" customHeight="false" outlineLevel="0" collapsed="false">
      <c r="A51" s="2" t="s">
        <v>319</v>
      </c>
      <c r="B51" s="3" t="s">
        <v>320</v>
      </c>
      <c r="C51" s="2" t="s">
        <v>312</v>
      </c>
      <c r="D51" s="2" t="s">
        <v>313</v>
      </c>
      <c r="E51" s="2"/>
      <c r="F51" s="2" t="s">
        <v>249</v>
      </c>
      <c r="G51" s="2"/>
      <c r="H51" s="2"/>
      <c r="I51" s="23" t="n">
        <f aca="false">Preparaciones!$F$43</f>
        <v>0.246</v>
      </c>
    </row>
    <row r="52" customFormat="false" ht="15" hidden="false" customHeight="false" outlineLevel="0" collapsed="false">
      <c r="A52" s="2" t="s">
        <v>321</v>
      </c>
      <c r="B52" s="3" t="s">
        <v>322</v>
      </c>
      <c r="C52" s="2" t="s">
        <v>312</v>
      </c>
      <c r="D52" s="2" t="s">
        <v>313</v>
      </c>
      <c r="E52" s="2"/>
      <c r="F52" s="2" t="s">
        <v>249</v>
      </c>
      <c r="G52" s="2"/>
      <c r="H52" s="2"/>
      <c r="I52" s="23" t="n">
        <f aca="false">Preparaciones!$F$52</f>
        <v>0.39609375</v>
      </c>
    </row>
    <row r="53" customFormat="false" ht="15" hidden="false" customHeight="false" outlineLevel="0" collapsed="false">
      <c r="A53" s="2" t="s">
        <v>29</v>
      </c>
      <c r="B53" s="3" t="s">
        <v>29</v>
      </c>
      <c r="C53" s="2" t="s">
        <v>312</v>
      </c>
      <c r="D53" s="2" t="s">
        <v>313</v>
      </c>
      <c r="E53" s="2"/>
      <c r="F53" s="2" t="s">
        <v>249</v>
      </c>
      <c r="G53" s="2"/>
      <c r="H53" s="2"/>
      <c r="I53" s="23" t="n">
        <f aca="false">Preparaciones!$F$61</f>
        <v>0.18625</v>
      </c>
    </row>
    <row r="54" customFormat="false" ht="15" hidden="false" customHeight="false" outlineLevel="0" collapsed="false">
      <c r="A54" s="2" t="s">
        <v>323</v>
      </c>
      <c r="B54" s="3" t="s">
        <v>323</v>
      </c>
      <c r="C54" s="2" t="s">
        <v>312</v>
      </c>
      <c r="D54" s="2" t="s">
        <v>313</v>
      </c>
      <c r="E54" s="2"/>
      <c r="F54" s="2" t="s">
        <v>249</v>
      </c>
      <c r="G54" s="2"/>
      <c r="H54" s="2"/>
      <c r="I54" s="23" t="n">
        <f aca="false">Preparaciones!$F$70</f>
        <v>0.15875</v>
      </c>
    </row>
    <row r="55" customFormat="false" ht="15" hidden="false" customHeight="false" outlineLevel="0" collapsed="false">
      <c r="A55" s="2" t="s">
        <v>324</v>
      </c>
      <c r="B55" s="3" t="s">
        <v>325</v>
      </c>
      <c r="C55" s="2" t="s">
        <v>312</v>
      </c>
      <c r="D55" s="2" t="s">
        <v>313</v>
      </c>
      <c r="E55" s="2"/>
      <c r="F55" s="2" t="s">
        <v>249</v>
      </c>
      <c r="G55" s="2"/>
      <c r="H55" s="2"/>
      <c r="I55" s="23" t="n">
        <f aca="false">Preparaciones!$F$78</f>
        <v>0.121666666666667</v>
      </c>
    </row>
    <row r="56" customFormat="false" ht="15" hidden="false" customHeight="false" outlineLevel="0" collapsed="false">
      <c r="A56" s="2" t="s">
        <v>326</v>
      </c>
      <c r="B56" s="3" t="s">
        <v>327</v>
      </c>
      <c r="C56" s="2" t="s">
        <v>328</v>
      </c>
      <c r="D56" s="2" t="s">
        <v>329</v>
      </c>
      <c r="E56" s="2"/>
      <c r="F56" s="2" t="s">
        <v>214</v>
      </c>
      <c r="G56" s="2"/>
      <c r="H56" s="2"/>
      <c r="I56" s="23" t="n">
        <f aca="false">Ajustes!$B$23</f>
        <v>0.801840336134454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330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331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1.5" hidden="false" customHeight="true" outlineLevel="0" collapsed="false">
      <c r="A4" s="4" t="s">
        <v>332</v>
      </c>
      <c r="B4" s="4" t="s">
        <v>333</v>
      </c>
      <c r="C4" s="4" t="s">
        <v>334</v>
      </c>
      <c r="D4" s="4" t="s">
        <v>192</v>
      </c>
      <c r="E4" s="4" t="s">
        <v>335</v>
      </c>
      <c r="F4" s="4" t="s">
        <v>336</v>
      </c>
      <c r="G4" s="4" t="s">
        <v>337</v>
      </c>
    </row>
    <row r="5" customFormat="false" ht="26.85" hidden="false" customHeight="false" outlineLevel="0" collapsed="false">
      <c r="A5" s="2" t="s">
        <v>311</v>
      </c>
      <c r="B5" s="2" t="s">
        <v>338</v>
      </c>
      <c r="C5" s="14" t="n">
        <v>4</v>
      </c>
      <c r="D5" s="2" t="s">
        <v>214</v>
      </c>
      <c r="E5" s="20" t="n">
        <v>1</v>
      </c>
      <c r="F5" s="9" t="n">
        <f aca="false">C5*E5</f>
        <v>4</v>
      </c>
      <c r="G5" s="24" t="s">
        <v>339</v>
      </c>
    </row>
    <row r="6" customFormat="false" ht="15" hidden="false" customHeight="false" outlineLevel="0" collapsed="false">
      <c r="A6" s="3" t="s">
        <v>311</v>
      </c>
      <c r="B6" s="2" t="s">
        <v>340</v>
      </c>
      <c r="C6" s="14" t="n">
        <v>0.5</v>
      </c>
      <c r="D6" s="2" t="s">
        <v>200</v>
      </c>
      <c r="E6" s="20" t="n">
        <v>1</v>
      </c>
      <c r="F6" s="9" t="n">
        <f aca="false">C6*E6</f>
        <v>0.5</v>
      </c>
      <c r="G6" s="2"/>
    </row>
    <row r="7" customFormat="false" ht="15" hidden="false" customHeight="false" outlineLevel="0" collapsed="false">
      <c r="A7" s="2" t="s">
        <v>311</v>
      </c>
      <c r="B7" s="2" t="s">
        <v>290</v>
      </c>
      <c r="C7" s="14" t="n">
        <v>0.25</v>
      </c>
      <c r="D7" s="2" t="s">
        <v>200</v>
      </c>
      <c r="E7" s="20" t="n">
        <v>0.8</v>
      </c>
      <c r="F7" s="9" t="n">
        <f aca="false">C7*E7</f>
        <v>0.2</v>
      </c>
      <c r="G7" s="2"/>
    </row>
    <row r="8" customFormat="false" ht="15" hidden="false" customHeight="false" outlineLevel="0" collapsed="false">
      <c r="A8" s="2" t="s">
        <v>311</v>
      </c>
      <c r="B8" s="2" t="s">
        <v>292</v>
      </c>
      <c r="C8" s="14" t="n">
        <v>0.5</v>
      </c>
      <c r="D8" s="2" t="s">
        <v>294</v>
      </c>
      <c r="E8" s="20" t="n">
        <v>0.5</v>
      </c>
      <c r="F8" s="9" t="n">
        <f aca="false">C8*E8</f>
        <v>0.25</v>
      </c>
      <c r="G8" s="2"/>
    </row>
    <row r="9" customFormat="false" ht="15" hidden="false" customHeight="false" outlineLevel="0" collapsed="false">
      <c r="A9" s="2" t="s">
        <v>311</v>
      </c>
      <c r="B9" s="2" t="s">
        <v>288</v>
      </c>
      <c r="C9" s="14" t="n">
        <v>2</v>
      </c>
      <c r="D9" s="2" t="s">
        <v>214</v>
      </c>
      <c r="E9" s="20" t="n">
        <v>0.15</v>
      </c>
      <c r="F9" s="9" t="n">
        <f aca="false">C9*E9</f>
        <v>0.3</v>
      </c>
      <c r="G9" s="2"/>
    </row>
    <row r="10" customFormat="false" ht="15" hidden="false" customHeight="false" outlineLevel="0" collapsed="false">
      <c r="A10" s="2"/>
      <c r="B10" s="10" t="s">
        <v>341</v>
      </c>
      <c r="C10" s="2"/>
      <c r="D10" s="2"/>
      <c r="E10" s="2"/>
      <c r="F10" s="25" t="n">
        <f aca="false">SUM(F5:F9)</f>
        <v>5.25</v>
      </c>
      <c r="G10" s="2"/>
    </row>
    <row r="11" customFormat="false" ht="15" hidden="false" customHeight="false" outlineLevel="0" collapsed="false">
      <c r="A11" s="2"/>
      <c r="B11" s="10" t="s">
        <v>342</v>
      </c>
      <c r="C11" s="17" t="n">
        <v>24</v>
      </c>
      <c r="D11" s="2"/>
      <c r="E11" s="2"/>
      <c r="F11" s="2"/>
      <c r="G11" s="3" t="s">
        <v>343</v>
      </c>
    </row>
    <row r="12" customFormat="false" ht="15" hidden="false" customHeight="false" outlineLevel="0" collapsed="false">
      <c r="A12" s="26"/>
      <c r="B12" s="27" t="s">
        <v>344</v>
      </c>
      <c r="C12" s="26"/>
      <c r="D12" s="26"/>
      <c r="E12" s="26"/>
      <c r="F12" s="28" t="n">
        <f aca="false">IFERROR(F10/C11,0)</f>
        <v>0.21875</v>
      </c>
      <c r="G12" s="26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15" hidden="false" customHeight="false" outlineLevel="0" collapsed="false">
      <c r="A14" s="2" t="s">
        <v>314</v>
      </c>
      <c r="B14" s="2" t="s">
        <v>340</v>
      </c>
      <c r="C14" s="14" t="n">
        <v>1</v>
      </c>
      <c r="D14" s="2" t="s">
        <v>200</v>
      </c>
      <c r="E14" s="20" t="n">
        <v>1</v>
      </c>
      <c r="F14" s="9" t="n">
        <f aca="false">C14*E14</f>
        <v>1</v>
      </c>
      <c r="G14" s="24" t="s">
        <v>345</v>
      </c>
    </row>
    <row r="15" customFormat="false" ht="15" hidden="false" customHeight="false" outlineLevel="0" collapsed="false">
      <c r="A15" s="3" t="s">
        <v>314</v>
      </c>
      <c r="B15" s="2" t="s">
        <v>290</v>
      </c>
      <c r="C15" s="14" t="n">
        <v>0.5</v>
      </c>
      <c r="D15" s="2" t="s">
        <v>200</v>
      </c>
      <c r="E15" s="20" t="n">
        <v>0.8</v>
      </c>
      <c r="F15" s="9" t="n">
        <f aca="false">C15*E15</f>
        <v>0.4</v>
      </c>
      <c r="G15" s="2"/>
    </row>
    <row r="16" customFormat="false" ht="15" hidden="false" customHeight="false" outlineLevel="0" collapsed="false">
      <c r="A16" s="2" t="s">
        <v>314</v>
      </c>
      <c r="B16" s="2" t="s">
        <v>292</v>
      </c>
      <c r="C16" s="14" t="n">
        <v>0.5</v>
      </c>
      <c r="D16" s="2" t="s">
        <v>294</v>
      </c>
      <c r="E16" s="20" t="n">
        <v>0.5</v>
      </c>
      <c r="F16" s="9" t="n">
        <f aca="false">C16*E16</f>
        <v>0.25</v>
      </c>
      <c r="G16" s="2"/>
    </row>
    <row r="17" customFormat="false" ht="15" hidden="false" customHeight="false" outlineLevel="0" collapsed="false">
      <c r="A17" s="2" t="s">
        <v>314</v>
      </c>
      <c r="B17" s="2" t="s">
        <v>288</v>
      </c>
      <c r="C17" s="14" t="n">
        <v>2</v>
      </c>
      <c r="D17" s="2" t="s">
        <v>214</v>
      </c>
      <c r="E17" s="20" t="n">
        <v>0.15</v>
      </c>
      <c r="F17" s="9" t="n">
        <f aca="false">C17*E17</f>
        <v>0.3</v>
      </c>
      <c r="G17" s="2"/>
    </row>
    <row r="18" customFormat="false" ht="15" hidden="false" customHeight="false" outlineLevel="0" collapsed="false">
      <c r="A18" s="2" t="s">
        <v>314</v>
      </c>
      <c r="B18" s="2" t="s">
        <v>276</v>
      </c>
      <c r="C18" s="14" t="n">
        <v>1</v>
      </c>
      <c r="D18" s="2" t="s">
        <v>214</v>
      </c>
      <c r="E18" s="20" t="n">
        <v>0.1</v>
      </c>
      <c r="F18" s="9" t="n">
        <f aca="false">C18*E18</f>
        <v>0.1</v>
      </c>
      <c r="G18" s="2"/>
    </row>
    <row r="19" customFormat="false" ht="15" hidden="false" customHeight="false" outlineLevel="0" collapsed="false">
      <c r="A19" s="2"/>
      <c r="B19" s="10" t="s">
        <v>341</v>
      </c>
      <c r="C19" s="2"/>
      <c r="D19" s="2"/>
      <c r="E19" s="2"/>
      <c r="F19" s="25" t="n">
        <f aca="false">SUM(F14:F18)</f>
        <v>2.05</v>
      </c>
      <c r="G19" s="2"/>
    </row>
    <row r="20" customFormat="false" ht="15" hidden="false" customHeight="false" outlineLevel="0" collapsed="false">
      <c r="A20" s="2"/>
      <c r="B20" s="10" t="s">
        <v>342</v>
      </c>
      <c r="C20" s="17" t="n">
        <v>20</v>
      </c>
      <c r="D20" s="2"/>
      <c r="E20" s="2"/>
      <c r="F20" s="2"/>
      <c r="G20" s="3" t="s">
        <v>343</v>
      </c>
    </row>
    <row r="21" customFormat="false" ht="15" hidden="false" customHeight="false" outlineLevel="0" collapsed="false">
      <c r="A21" s="26"/>
      <c r="B21" s="27" t="s">
        <v>344</v>
      </c>
      <c r="C21" s="26"/>
      <c r="D21" s="26"/>
      <c r="E21" s="26"/>
      <c r="F21" s="28" t="n">
        <f aca="false">IFERROR(F19/C20,0)</f>
        <v>0.1025</v>
      </c>
      <c r="G21" s="26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26.85" hidden="false" customHeight="false" outlineLevel="0" collapsed="false">
      <c r="A23" s="2" t="s">
        <v>315</v>
      </c>
      <c r="B23" s="2" t="s">
        <v>290</v>
      </c>
      <c r="C23" s="14" t="n">
        <v>3</v>
      </c>
      <c r="D23" s="2" t="s">
        <v>200</v>
      </c>
      <c r="E23" s="20" t="n">
        <v>0.8</v>
      </c>
      <c r="F23" s="9" t="n">
        <f aca="false">C23*E23</f>
        <v>2.4</v>
      </c>
      <c r="G23" s="24" t="s">
        <v>346</v>
      </c>
    </row>
    <row r="24" customFormat="false" ht="15" hidden="false" customHeight="false" outlineLevel="0" collapsed="false">
      <c r="A24" s="3" t="s">
        <v>316</v>
      </c>
      <c r="B24" s="2" t="s">
        <v>267</v>
      </c>
      <c r="C24" s="14" t="n">
        <v>0.25</v>
      </c>
      <c r="D24" s="2" t="s">
        <v>200</v>
      </c>
      <c r="E24" s="20" t="n">
        <v>4</v>
      </c>
      <c r="F24" s="9" t="n">
        <f aca="false">C24*E24</f>
        <v>1</v>
      </c>
      <c r="G24" s="2"/>
    </row>
    <row r="25" customFormat="false" ht="15" hidden="false" customHeight="false" outlineLevel="0" collapsed="false">
      <c r="A25" s="2" t="s">
        <v>315</v>
      </c>
      <c r="B25" s="2" t="s">
        <v>347</v>
      </c>
      <c r="C25" s="14" t="n">
        <v>4</v>
      </c>
      <c r="D25" s="2" t="s">
        <v>249</v>
      </c>
      <c r="E25" s="20" t="n">
        <v>0.3</v>
      </c>
      <c r="F25" s="9" t="n">
        <f aca="false">C25*E25</f>
        <v>1.2</v>
      </c>
      <c r="G25" s="2"/>
    </row>
    <row r="26" customFormat="false" ht="15" hidden="false" customHeight="false" outlineLevel="0" collapsed="false">
      <c r="A26" s="2" t="s">
        <v>315</v>
      </c>
      <c r="B26" s="2" t="s">
        <v>348</v>
      </c>
      <c r="C26" s="14" t="n">
        <v>1</v>
      </c>
      <c r="D26" s="2" t="s">
        <v>249</v>
      </c>
      <c r="E26" s="20" t="n">
        <v>0.05</v>
      </c>
      <c r="F26" s="9" t="n">
        <f aca="false">C26*E26</f>
        <v>0.05</v>
      </c>
      <c r="G26" s="2"/>
    </row>
    <row r="27" customFormat="false" ht="15" hidden="false" customHeight="false" outlineLevel="0" collapsed="false">
      <c r="A27" s="2"/>
      <c r="B27" s="10" t="s">
        <v>341</v>
      </c>
      <c r="C27" s="2"/>
      <c r="D27" s="2"/>
      <c r="E27" s="2"/>
      <c r="F27" s="25" t="n">
        <f aca="false">SUM(F23:F26)</f>
        <v>4.65</v>
      </c>
      <c r="G27" s="2"/>
    </row>
    <row r="28" customFormat="false" ht="15" hidden="false" customHeight="false" outlineLevel="0" collapsed="false">
      <c r="A28" s="2"/>
      <c r="B28" s="10" t="s">
        <v>342</v>
      </c>
      <c r="C28" s="17" t="n">
        <v>16</v>
      </c>
      <c r="D28" s="2"/>
      <c r="E28" s="2"/>
      <c r="F28" s="2"/>
      <c r="G28" s="3" t="s">
        <v>343</v>
      </c>
    </row>
    <row r="29" customFormat="false" ht="15" hidden="false" customHeight="false" outlineLevel="0" collapsed="false">
      <c r="A29" s="26"/>
      <c r="B29" s="27" t="s">
        <v>344</v>
      </c>
      <c r="C29" s="26"/>
      <c r="D29" s="26"/>
      <c r="E29" s="26"/>
      <c r="F29" s="28" t="n">
        <f aca="false">IFERROR(F27/C28,0)</f>
        <v>0.290625</v>
      </c>
      <c r="G29" s="26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</row>
    <row r="31" customFormat="false" ht="26.85" hidden="false" customHeight="false" outlineLevel="0" collapsed="false">
      <c r="A31" s="2" t="s">
        <v>317</v>
      </c>
      <c r="B31" s="2" t="s">
        <v>349</v>
      </c>
      <c r="C31" s="14" t="n">
        <v>16</v>
      </c>
      <c r="D31" s="2" t="s">
        <v>249</v>
      </c>
      <c r="E31" s="20" t="n">
        <v>0.12</v>
      </c>
      <c r="F31" s="9" t="n">
        <f aca="false">C31*E31</f>
        <v>1.92</v>
      </c>
      <c r="G31" s="24" t="s">
        <v>350</v>
      </c>
    </row>
    <row r="32" customFormat="false" ht="15" hidden="false" customHeight="false" outlineLevel="0" collapsed="false">
      <c r="A32" s="3" t="s">
        <v>318</v>
      </c>
      <c r="B32" s="2" t="s">
        <v>267</v>
      </c>
      <c r="C32" s="14" t="n">
        <v>0.5</v>
      </c>
      <c r="D32" s="2" t="s">
        <v>200</v>
      </c>
      <c r="E32" s="20" t="n">
        <v>4</v>
      </c>
      <c r="F32" s="9" t="n">
        <f aca="false">C32*E32</f>
        <v>2</v>
      </c>
      <c r="G32" s="2"/>
    </row>
    <row r="33" customFormat="false" ht="15" hidden="false" customHeight="false" outlineLevel="0" collapsed="false">
      <c r="A33" s="2"/>
      <c r="B33" s="10" t="s">
        <v>341</v>
      </c>
      <c r="C33" s="2"/>
      <c r="D33" s="2"/>
      <c r="E33" s="2"/>
      <c r="F33" s="25" t="n">
        <f aca="false">SUM(F31:F32)</f>
        <v>3.92</v>
      </c>
      <c r="G33" s="2"/>
    </row>
    <row r="34" customFormat="false" ht="15" hidden="false" customHeight="false" outlineLevel="0" collapsed="false">
      <c r="A34" s="2"/>
      <c r="B34" s="10" t="s">
        <v>342</v>
      </c>
      <c r="C34" s="17" t="n">
        <v>24</v>
      </c>
      <c r="D34" s="2"/>
      <c r="E34" s="2"/>
      <c r="F34" s="2"/>
      <c r="G34" s="3" t="s">
        <v>343</v>
      </c>
    </row>
    <row r="35" customFormat="false" ht="15" hidden="false" customHeight="false" outlineLevel="0" collapsed="false">
      <c r="A35" s="26"/>
      <c r="B35" s="27" t="s">
        <v>344</v>
      </c>
      <c r="C35" s="26"/>
      <c r="D35" s="26"/>
      <c r="E35" s="26"/>
      <c r="F35" s="28" t="n">
        <f aca="false">IFERROR(F33/C34,0)</f>
        <v>0.163333333333333</v>
      </c>
      <c r="G35" s="26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</row>
    <row r="37" customFormat="false" ht="26.85" hidden="false" customHeight="false" outlineLevel="0" collapsed="false">
      <c r="A37" s="2" t="s">
        <v>319</v>
      </c>
      <c r="B37" s="2" t="s">
        <v>351</v>
      </c>
      <c r="C37" s="14" t="n">
        <v>0.25</v>
      </c>
      <c r="D37" s="2" t="s">
        <v>200</v>
      </c>
      <c r="E37" s="20" t="n">
        <v>3</v>
      </c>
      <c r="F37" s="9" t="n">
        <f aca="false">C37*E37</f>
        <v>0.75</v>
      </c>
      <c r="G37" s="24" t="s">
        <v>352</v>
      </c>
    </row>
    <row r="38" customFormat="false" ht="15" hidden="false" customHeight="false" outlineLevel="0" collapsed="false">
      <c r="A38" s="3" t="s">
        <v>320</v>
      </c>
      <c r="B38" s="2" t="s">
        <v>267</v>
      </c>
      <c r="C38" s="14" t="n">
        <v>0.5</v>
      </c>
      <c r="D38" s="2" t="s">
        <v>200</v>
      </c>
      <c r="E38" s="20" t="n">
        <v>4</v>
      </c>
      <c r="F38" s="9" t="n">
        <f aca="false">C38*E38</f>
        <v>2</v>
      </c>
      <c r="G38" s="2"/>
    </row>
    <row r="39" customFormat="false" ht="15" hidden="false" customHeight="false" outlineLevel="0" collapsed="false">
      <c r="A39" s="2" t="s">
        <v>319</v>
      </c>
      <c r="B39" s="2" t="s">
        <v>353</v>
      </c>
      <c r="C39" s="14" t="n">
        <v>8</v>
      </c>
      <c r="D39" s="2" t="s">
        <v>249</v>
      </c>
      <c r="E39" s="20" t="n">
        <v>0.24</v>
      </c>
      <c r="F39" s="9" t="n">
        <f aca="false">C39*E39</f>
        <v>1.92</v>
      </c>
      <c r="G39" s="2"/>
    </row>
    <row r="40" customFormat="false" ht="15" hidden="false" customHeight="false" outlineLevel="0" collapsed="false">
      <c r="A40" s="2" t="s">
        <v>319</v>
      </c>
      <c r="B40" s="2" t="s">
        <v>354</v>
      </c>
      <c r="C40" s="14" t="n">
        <v>0.5</v>
      </c>
      <c r="D40" s="2" t="s">
        <v>294</v>
      </c>
      <c r="E40" s="20" t="n">
        <v>0.5</v>
      </c>
      <c r="F40" s="9" t="n">
        <f aca="false">C40*E40</f>
        <v>0.25</v>
      </c>
      <c r="G40" s="2"/>
    </row>
    <row r="41" customFormat="false" ht="15" hidden="false" customHeight="false" outlineLevel="0" collapsed="false">
      <c r="A41" s="2"/>
      <c r="B41" s="10" t="s">
        <v>341</v>
      </c>
      <c r="C41" s="2"/>
      <c r="D41" s="2"/>
      <c r="E41" s="2"/>
      <c r="F41" s="25" t="n">
        <f aca="false">SUM(F37:F40)</f>
        <v>4.92</v>
      </c>
      <c r="G41" s="2"/>
    </row>
    <row r="42" customFormat="false" ht="15" hidden="false" customHeight="false" outlineLevel="0" collapsed="false">
      <c r="A42" s="2"/>
      <c r="B42" s="10" t="s">
        <v>342</v>
      </c>
      <c r="C42" s="17" t="n">
        <v>20</v>
      </c>
      <c r="D42" s="2"/>
      <c r="E42" s="2"/>
      <c r="F42" s="2"/>
      <c r="G42" s="3" t="s">
        <v>343</v>
      </c>
    </row>
    <row r="43" customFormat="false" ht="15" hidden="false" customHeight="false" outlineLevel="0" collapsed="false">
      <c r="A43" s="26"/>
      <c r="B43" s="27" t="s">
        <v>344</v>
      </c>
      <c r="C43" s="26"/>
      <c r="D43" s="26"/>
      <c r="E43" s="26"/>
      <c r="F43" s="28" t="n">
        <f aca="false">IFERROR(F41/C42,0)</f>
        <v>0.246</v>
      </c>
      <c r="G43" s="26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</row>
    <row r="45" customFormat="false" ht="26.85" hidden="false" customHeight="false" outlineLevel="0" collapsed="false">
      <c r="A45" s="2" t="s">
        <v>321</v>
      </c>
      <c r="B45" s="2" t="s">
        <v>355</v>
      </c>
      <c r="C45" s="14" t="n">
        <v>5</v>
      </c>
      <c r="D45" s="2" t="s">
        <v>200</v>
      </c>
      <c r="E45" s="20" t="n">
        <v>4.5</v>
      </c>
      <c r="F45" s="9" t="n">
        <f aca="false">C45*E45</f>
        <v>22.5</v>
      </c>
      <c r="G45" s="24" t="s">
        <v>356</v>
      </c>
    </row>
    <row r="46" customFormat="false" ht="15" hidden="false" customHeight="false" outlineLevel="0" collapsed="false">
      <c r="A46" s="3" t="s">
        <v>322</v>
      </c>
      <c r="B46" s="2" t="s">
        <v>290</v>
      </c>
      <c r="C46" s="14" t="n">
        <v>1</v>
      </c>
      <c r="D46" s="2" t="s">
        <v>200</v>
      </c>
      <c r="E46" s="20" t="n">
        <v>0.8</v>
      </c>
      <c r="F46" s="9" t="n">
        <f aca="false">C46*E46</f>
        <v>0.8</v>
      </c>
      <c r="G46" s="2"/>
    </row>
    <row r="47" customFormat="false" ht="15" hidden="false" customHeight="false" outlineLevel="0" collapsed="false">
      <c r="A47" s="2" t="s">
        <v>321</v>
      </c>
      <c r="B47" s="2" t="s">
        <v>340</v>
      </c>
      <c r="C47" s="14" t="n">
        <v>1</v>
      </c>
      <c r="D47" s="2" t="s">
        <v>200</v>
      </c>
      <c r="E47" s="20" t="n">
        <v>1</v>
      </c>
      <c r="F47" s="9" t="n">
        <f aca="false">C47*E47</f>
        <v>1</v>
      </c>
      <c r="G47" s="2"/>
    </row>
    <row r="48" customFormat="false" ht="15" hidden="false" customHeight="false" outlineLevel="0" collapsed="false">
      <c r="A48" s="2" t="s">
        <v>321</v>
      </c>
      <c r="B48" s="2" t="s">
        <v>357</v>
      </c>
      <c r="C48" s="14" t="n">
        <v>0.5</v>
      </c>
      <c r="D48" s="2" t="s">
        <v>200</v>
      </c>
      <c r="E48" s="20" t="n">
        <v>1.5</v>
      </c>
      <c r="F48" s="9" t="n">
        <f aca="false">C48*E48</f>
        <v>0.75</v>
      </c>
      <c r="G48" s="2"/>
    </row>
    <row r="49" customFormat="false" ht="15" hidden="false" customHeight="false" outlineLevel="0" collapsed="false">
      <c r="A49" s="2" t="s">
        <v>321</v>
      </c>
      <c r="B49" s="2" t="s">
        <v>351</v>
      </c>
      <c r="C49" s="14" t="n">
        <v>0.1</v>
      </c>
      <c r="D49" s="2" t="s">
        <v>200</v>
      </c>
      <c r="E49" s="20" t="n">
        <v>3</v>
      </c>
      <c r="F49" s="9" t="n">
        <f aca="false">C49*E49</f>
        <v>0.3</v>
      </c>
      <c r="G49" s="2"/>
    </row>
    <row r="50" customFormat="false" ht="15" hidden="false" customHeight="false" outlineLevel="0" collapsed="false">
      <c r="A50" s="2"/>
      <c r="B50" s="10" t="s">
        <v>341</v>
      </c>
      <c r="C50" s="2"/>
      <c r="D50" s="2"/>
      <c r="E50" s="2"/>
      <c r="F50" s="25" t="n">
        <f aca="false">SUM(F45:F49)</f>
        <v>25.35</v>
      </c>
      <c r="G50" s="2"/>
    </row>
    <row r="51" customFormat="false" ht="15" hidden="false" customHeight="false" outlineLevel="0" collapsed="false">
      <c r="A51" s="2"/>
      <c r="B51" s="10" t="s">
        <v>342</v>
      </c>
      <c r="C51" s="17" t="n">
        <v>64</v>
      </c>
      <c r="D51" s="2"/>
      <c r="E51" s="2"/>
      <c r="F51" s="2"/>
      <c r="G51" s="3" t="s">
        <v>343</v>
      </c>
    </row>
    <row r="52" customFormat="false" ht="15" hidden="false" customHeight="false" outlineLevel="0" collapsed="false">
      <c r="A52" s="26"/>
      <c r="B52" s="27" t="s">
        <v>344</v>
      </c>
      <c r="C52" s="26"/>
      <c r="D52" s="26"/>
      <c r="E52" s="26"/>
      <c r="F52" s="28" t="n">
        <f aca="false">IFERROR(F50/C51,0)</f>
        <v>0.39609375</v>
      </c>
      <c r="G52" s="26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</row>
    <row r="54" customFormat="false" ht="15" hidden="false" customHeight="false" outlineLevel="0" collapsed="false">
      <c r="A54" s="2" t="s">
        <v>29</v>
      </c>
      <c r="B54" s="2" t="s">
        <v>358</v>
      </c>
      <c r="C54" s="14" t="n">
        <v>1</v>
      </c>
      <c r="D54" s="2" t="s">
        <v>200</v>
      </c>
      <c r="E54" s="20" t="n">
        <v>1.5</v>
      </c>
      <c r="F54" s="9" t="n">
        <f aca="false">C54*E54</f>
        <v>1.5</v>
      </c>
      <c r="G54" s="24" t="s">
        <v>359</v>
      </c>
    </row>
    <row r="55" customFormat="false" ht="15" hidden="false" customHeight="false" outlineLevel="0" collapsed="false">
      <c r="A55" s="3" t="s">
        <v>29</v>
      </c>
      <c r="B55" s="2" t="s">
        <v>360</v>
      </c>
      <c r="C55" s="14" t="n">
        <v>6</v>
      </c>
      <c r="D55" s="2" t="s">
        <v>249</v>
      </c>
      <c r="E55" s="20" t="n">
        <v>0.6</v>
      </c>
      <c r="F55" s="9" t="n">
        <f aca="false">C55*E55</f>
        <v>3.6</v>
      </c>
      <c r="G55" s="2"/>
    </row>
    <row r="56" customFormat="false" ht="15" hidden="false" customHeight="false" outlineLevel="0" collapsed="false">
      <c r="A56" s="2" t="s">
        <v>29</v>
      </c>
      <c r="B56" s="2" t="s">
        <v>351</v>
      </c>
      <c r="C56" s="14" t="n">
        <v>0.05</v>
      </c>
      <c r="D56" s="2" t="s">
        <v>200</v>
      </c>
      <c r="E56" s="20" t="n">
        <v>3</v>
      </c>
      <c r="F56" s="9" t="n">
        <f aca="false">C56*E56</f>
        <v>0.15</v>
      </c>
      <c r="G56" s="2"/>
    </row>
    <row r="57" customFormat="false" ht="15" hidden="false" customHeight="false" outlineLevel="0" collapsed="false">
      <c r="A57" s="2" t="s">
        <v>29</v>
      </c>
      <c r="B57" s="2" t="s">
        <v>288</v>
      </c>
      <c r="C57" s="14" t="n">
        <v>4</v>
      </c>
      <c r="D57" s="2" t="s">
        <v>214</v>
      </c>
      <c r="E57" s="20" t="n">
        <v>0.15</v>
      </c>
      <c r="F57" s="9" t="n">
        <f aca="false">C57*E57</f>
        <v>0.6</v>
      </c>
      <c r="G57" s="2"/>
    </row>
    <row r="58" customFormat="false" ht="15" hidden="false" customHeight="false" outlineLevel="0" collapsed="false">
      <c r="A58" s="2" t="s">
        <v>29</v>
      </c>
      <c r="B58" s="2" t="s">
        <v>295</v>
      </c>
      <c r="C58" s="14" t="n">
        <v>4</v>
      </c>
      <c r="D58" s="2" t="s">
        <v>249</v>
      </c>
      <c r="E58" s="20" t="n">
        <v>0.4</v>
      </c>
      <c r="F58" s="9" t="n">
        <f aca="false">C58*E58</f>
        <v>1.6</v>
      </c>
      <c r="G58" s="2"/>
    </row>
    <row r="59" customFormat="false" ht="15" hidden="false" customHeight="false" outlineLevel="0" collapsed="false">
      <c r="A59" s="2"/>
      <c r="B59" s="10" t="s">
        <v>341</v>
      </c>
      <c r="C59" s="2"/>
      <c r="D59" s="2"/>
      <c r="E59" s="2"/>
      <c r="F59" s="25" t="n">
        <f aca="false">SUM(F54:F58)</f>
        <v>7.45</v>
      </c>
      <c r="G59" s="2"/>
    </row>
    <row r="60" customFormat="false" ht="15" hidden="false" customHeight="false" outlineLevel="0" collapsed="false">
      <c r="A60" s="2"/>
      <c r="B60" s="10" t="s">
        <v>342</v>
      </c>
      <c r="C60" s="17" t="n">
        <v>40</v>
      </c>
      <c r="D60" s="2"/>
      <c r="E60" s="2"/>
      <c r="F60" s="2"/>
      <c r="G60" s="3" t="s">
        <v>343</v>
      </c>
    </row>
    <row r="61" customFormat="false" ht="15" hidden="false" customHeight="false" outlineLevel="0" collapsed="false">
      <c r="A61" s="26"/>
      <c r="B61" s="27" t="s">
        <v>344</v>
      </c>
      <c r="C61" s="26"/>
      <c r="D61" s="26"/>
      <c r="E61" s="26"/>
      <c r="F61" s="28" t="n">
        <f aca="false">IFERROR(F59/C60,0)</f>
        <v>0.18625</v>
      </c>
      <c r="G61" s="26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</row>
    <row r="63" customFormat="false" ht="15" hidden="false" customHeight="false" outlineLevel="0" collapsed="false">
      <c r="A63" s="2" t="s">
        <v>323</v>
      </c>
      <c r="B63" s="2" t="s">
        <v>354</v>
      </c>
      <c r="C63" s="14" t="n">
        <v>2</v>
      </c>
      <c r="D63" s="2" t="s">
        <v>294</v>
      </c>
      <c r="E63" s="20" t="n">
        <v>0.5</v>
      </c>
      <c r="F63" s="9" t="n">
        <f aca="false">C63*E63</f>
        <v>1</v>
      </c>
      <c r="G63" s="24" t="s">
        <v>361</v>
      </c>
    </row>
    <row r="64" customFormat="false" ht="15" hidden="false" customHeight="false" outlineLevel="0" collapsed="false">
      <c r="A64" s="3" t="s">
        <v>323</v>
      </c>
      <c r="B64" s="2" t="s">
        <v>351</v>
      </c>
      <c r="C64" s="14" t="n">
        <v>0.1</v>
      </c>
      <c r="D64" s="2" t="s">
        <v>200</v>
      </c>
      <c r="E64" s="20" t="n">
        <v>3</v>
      </c>
      <c r="F64" s="9" t="n">
        <f aca="false">C64*E64</f>
        <v>0.3</v>
      </c>
      <c r="G64" s="2"/>
    </row>
    <row r="65" customFormat="false" ht="15" hidden="false" customHeight="false" outlineLevel="0" collapsed="false">
      <c r="A65" s="2" t="s">
        <v>323</v>
      </c>
      <c r="B65" s="2" t="s">
        <v>362</v>
      </c>
      <c r="C65" s="14" t="n">
        <v>0.5</v>
      </c>
      <c r="D65" s="2" t="s">
        <v>249</v>
      </c>
      <c r="E65" s="20" t="n">
        <v>0.4</v>
      </c>
      <c r="F65" s="9" t="n">
        <f aca="false">C65*E65</f>
        <v>0.2</v>
      </c>
      <c r="G65" s="2"/>
    </row>
    <row r="66" customFormat="false" ht="15" hidden="false" customHeight="false" outlineLevel="0" collapsed="false">
      <c r="A66" s="2" t="s">
        <v>323</v>
      </c>
      <c r="B66" s="2" t="s">
        <v>363</v>
      </c>
      <c r="C66" s="14" t="n">
        <v>8</v>
      </c>
      <c r="D66" s="2" t="s">
        <v>249</v>
      </c>
      <c r="E66" s="20" t="n">
        <v>0.08</v>
      </c>
      <c r="F66" s="9" t="n">
        <f aca="false">C66*E66</f>
        <v>0.64</v>
      </c>
      <c r="G66" s="2"/>
    </row>
    <row r="67" customFormat="false" ht="15" hidden="false" customHeight="false" outlineLevel="0" collapsed="false">
      <c r="A67" s="2" t="s">
        <v>323</v>
      </c>
      <c r="B67" s="2" t="s">
        <v>364</v>
      </c>
      <c r="C67" s="14" t="n">
        <v>4</v>
      </c>
      <c r="D67" s="2" t="s">
        <v>249</v>
      </c>
      <c r="E67" s="20" t="n">
        <v>0.1</v>
      </c>
      <c r="F67" s="9" t="n">
        <f aca="false">C67*E67</f>
        <v>0.4</v>
      </c>
      <c r="G67" s="2"/>
    </row>
    <row r="68" customFormat="false" ht="15" hidden="false" customHeight="false" outlineLevel="0" collapsed="false">
      <c r="A68" s="2"/>
      <c r="B68" s="10" t="s">
        <v>341</v>
      </c>
      <c r="C68" s="2"/>
      <c r="D68" s="2"/>
      <c r="E68" s="2"/>
      <c r="F68" s="25" t="n">
        <f aca="false">SUM(F63:F67)</f>
        <v>2.54</v>
      </c>
      <c r="G68" s="2"/>
    </row>
    <row r="69" customFormat="false" ht="15" hidden="false" customHeight="false" outlineLevel="0" collapsed="false">
      <c r="A69" s="2"/>
      <c r="B69" s="10" t="s">
        <v>342</v>
      </c>
      <c r="C69" s="17" t="n">
        <v>16</v>
      </c>
      <c r="D69" s="2"/>
      <c r="E69" s="2"/>
      <c r="F69" s="2"/>
      <c r="G69" s="3" t="s">
        <v>343</v>
      </c>
    </row>
    <row r="70" customFormat="false" ht="15" hidden="false" customHeight="false" outlineLevel="0" collapsed="false">
      <c r="A70" s="26"/>
      <c r="B70" s="27" t="s">
        <v>344</v>
      </c>
      <c r="C70" s="26"/>
      <c r="D70" s="26"/>
      <c r="E70" s="26"/>
      <c r="F70" s="28" t="n">
        <f aca="false">IFERROR(F68/C69,0)</f>
        <v>0.15875</v>
      </c>
      <c r="G70" s="26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</row>
    <row r="72" customFormat="false" ht="15" hidden="false" customHeight="false" outlineLevel="0" collapsed="false">
      <c r="A72" s="2" t="s">
        <v>324</v>
      </c>
      <c r="B72" s="2" t="s">
        <v>365</v>
      </c>
      <c r="C72" s="14" t="n">
        <v>1</v>
      </c>
      <c r="D72" s="2" t="s">
        <v>214</v>
      </c>
      <c r="E72" s="20" t="n">
        <v>2.5</v>
      </c>
      <c r="F72" s="9" t="n">
        <f aca="false">C72*E72</f>
        <v>2.5</v>
      </c>
      <c r="G72" s="24" t="s">
        <v>366</v>
      </c>
    </row>
    <row r="73" customFormat="false" ht="15" hidden="false" customHeight="false" outlineLevel="0" collapsed="false">
      <c r="A73" s="3" t="s">
        <v>325</v>
      </c>
      <c r="B73" s="2" t="s">
        <v>351</v>
      </c>
      <c r="C73" s="14" t="n">
        <v>0.05</v>
      </c>
      <c r="D73" s="2" t="s">
        <v>200</v>
      </c>
      <c r="E73" s="20" t="n">
        <v>3</v>
      </c>
      <c r="F73" s="9" t="n">
        <f aca="false">C73*E73</f>
        <v>0.15</v>
      </c>
      <c r="G73" s="2"/>
    </row>
    <row r="74" customFormat="false" ht="15" hidden="false" customHeight="false" outlineLevel="0" collapsed="false">
      <c r="A74" s="2" t="s">
        <v>324</v>
      </c>
      <c r="B74" s="2" t="s">
        <v>290</v>
      </c>
      <c r="C74" s="14" t="n">
        <v>0.25</v>
      </c>
      <c r="D74" s="2" t="s">
        <v>200</v>
      </c>
      <c r="E74" s="20" t="n">
        <v>0.8</v>
      </c>
      <c r="F74" s="9" t="n">
        <f aca="false">C74*E74</f>
        <v>0.2</v>
      </c>
      <c r="G74" s="2"/>
    </row>
    <row r="75" customFormat="false" ht="15" hidden="false" customHeight="false" outlineLevel="0" collapsed="false">
      <c r="A75" s="2" t="s">
        <v>324</v>
      </c>
      <c r="B75" s="2" t="s">
        <v>295</v>
      </c>
      <c r="C75" s="14" t="n">
        <v>2</v>
      </c>
      <c r="D75" s="2" t="s">
        <v>249</v>
      </c>
      <c r="E75" s="20" t="n">
        <v>0.4</v>
      </c>
      <c r="F75" s="9" t="n">
        <f aca="false">C75*E75</f>
        <v>0.8</v>
      </c>
      <c r="G75" s="2"/>
    </row>
    <row r="76" customFormat="false" ht="15" hidden="false" customHeight="false" outlineLevel="0" collapsed="false">
      <c r="A76" s="2"/>
      <c r="B76" s="10" t="s">
        <v>341</v>
      </c>
      <c r="C76" s="2"/>
      <c r="D76" s="2"/>
      <c r="E76" s="2"/>
      <c r="F76" s="25" t="n">
        <f aca="false">SUM(F72:F75)</f>
        <v>3.65</v>
      </c>
      <c r="G76" s="2"/>
    </row>
    <row r="77" customFormat="false" ht="15" hidden="false" customHeight="false" outlineLevel="0" collapsed="false">
      <c r="A77" s="2"/>
      <c r="B77" s="10" t="s">
        <v>342</v>
      </c>
      <c r="C77" s="17" t="n">
        <v>30</v>
      </c>
      <c r="D77" s="2"/>
      <c r="E77" s="2"/>
      <c r="F77" s="2"/>
      <c r="G77" s="3" t="s">
        <v>343</v>
      </c>
    </row>
    <row r="78" customFormat="false" ht="15" hidden="false" customHeight="false" outlineLevel="0" collapsed="false">
      <c r="A78" s="26"/>
      <c r="B78" s="27" t="s">
        <v>344</v>
      </c>
      <c r="C78" s="26"/>
      <c r="D78" s="26"/>
      <c r="E78" s="26"/>
      <c r="F78" s="28" t="n">
        <f aca="false">IFERROR(F76/C77,0)</f>
        <v>0.121666666666667</v>
      </c>
      <c r="G78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367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368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333</v>
      </c>
      <c r="D4" s="4" t="s">
        <v>334</v>
      </c>
      <c r="E4" s="4" t="s">
        <v>192</v>
      </c>
      <c r="F4" s="4" t="s">
        <v>335</v>
      </c>
      <c r="G4" s="4" t="s">
        <v>336</v>
      </c>
    </row>
    <row r="5" customFormat="false" ht="15" hidden="false" customHeight="false" outlineLevel="0" collapsed="false">
      <c r="A5" s="2" t="s">
        <v>13</v>
      </c>
      <c r="B5" s="3" t="s">
        <v>14</v>
      </c>
      <c r="C5" s="2" t="s">
        <v>196</v>
      </c>
      <c r="D5" s="14" t="n">
        <v>0.6</v>
      </c>
      <c r="E5" s="15" t="str">
        <f aca="false">IFERROR(INDEX(Insumos!$F$5:$F$56,MATCH(C5,Insumos!$A$5:$A$56,0)),"?")</f>
        <v>lb</v>
      </c>
      <c r="F5" s="23" t="n">
        <f aca="false">IFERROR(INDEX(Insumos!$I$5:$I$56,MATCH(C5,Insumos!$A$5:$A$56,0)),0)</f>
        <v>5.83333333333333</v>
      </c>
      <c r="G5" s="9" t="n">
        <f aca="false">D5*F5</f>
        <v>3.5</v>
      </c>
    </row>
    <row r="6" customFormat="false" ht="15" hidden="false" customHeight="false" outlineLevel="0" collapsed="false">
      <c r="A6" s="2" t="s">
        <v>13</v>
      </c>
      <c r="B6" s="3" t="s">
        <v>14</v>
      </c>
      <c r="C6" s="2" t="s">
        <v>311</v>
      </c>
      <c r="D6" s="14" t="n">
        <v>3</v>
      </c>
      <c r="E6" s="15" t="str">
        <f aca="false">IFERROR(INDEX(Insumos!$F$5:$F$56,MATCH(C6,Insumos!$A$5:$A$56,0)),"?")</f>
        <v>oz</v>
      </c>
      <c r="F6" s="23" t="n">
        <f aca="false">IFERROR(INDEX(Insumos!$I$5:$I$56,MATCH(C6,Insumos!$A$5:$A$56,0)),0)</f>
        <v>0.21875</v>
      </c>
      <c r="G6" s="9" t="n">
        <f aca="false">D6*F6</f>
        <v>0.65625</v>
      </c>
    </row>
    <row r="7" customFormat="false" ht="15" hidden="false" customHeight="false" outlineLevel="0" collapsed="false">
      <c r="A7" s="2" t="s">
        <v>13</v>
      </c>
      <c r="B7" s="3" t="s">
        <v>14</v>
      </c>
      <c r="C7" s="2" t="s">
        <v>298</v>
      </c>
      <c r="D7" s="14" t="n">
        <v>1</v>
      </c>
      <c r="E7" s="15" t="str">
        <f aca="false">IFERROR(INDEX(Insumos!$F$5:$F$56,MATCH(C7,Insumos!$A$5:$A$56,0)),"?")</f>
        <v>unidad</v>
      </c>
      <c r="F7" s="23" t="n">
        <f aca="false">IFERROR(INDEX(Insumos!$I$5:$I$56,MATCH(C7,Insumos!$A$5:$A$56,0)),0)</f>
        <v>0.25</v>
      </c>
      <c r="G7" s="9" t="n">
        <f aca="false">D7*F7</f>
        <v>0.25</v>
      </c>
    </row>
    <row r="8" customFormat="false" ht="15" hidden="false" customHeight="false" outlineLevel="0" collapsed="false">
      <c r="A8" s="2" t="s">
        <v>13</v>
      </c>
      <c r="B8" s="3" t="s">
        <v>14</v>
      </c>
      <c r="C8" s="2" t="s">
        <v>301</v>
      </c>
      <c r="D8" s="14" t="n">
        <v>1</v>
      </c>
      <c r="E8" s="15" t="str">
        <f aca="false">IFERROR(INDEX(Insumos!$F$5:$F$56,MATCH(C8,Insumos!$A$5:$A$56,0)),"?")</f>
        <v>unidad</v>
      </c>
      <c r="F8" s="23" t="n">
        <f aca="false">IFERROR(INDEX(Insumos!$I$5:$I$56,MATCH(C8,Insumos!$A$5:$A$56,0)),0)</f>
        <v>0.25</v>
      </c>
      <c r="G8" s="9" t="n">
        <f aca="false">D8*F8</f>
        <v>0.25</v>
      </c>
    </row>
    <row r="9" customFormat="false" ht="15" hidden="false" customHeight="false" outlineLevel="0" collapsed="false">
      <c r="A9" s="2" t="s">
        <v>13</v>
      </c>
      <c r="B9" s="3" t="s">
        <v>14</v>
      </c>
      <c r="C9" s="2" t="s">
        <v>308</v>
      </c>
      <c r="D9" s="14" t="n">
        <v>1</v>
      </c>
      <c r="E9" s="15" t="str">
        <f aca="false">IFERROR(INDEX(Insumos!$F$5:$F$56,MATCH(C9,Insumos!$A$5:$A$56,0)),"?")</f>
        <v>unidad</v>
      </c>
      <c r="F9" s="23" t="n">
        <f aca="false">IFERROR(INDEX(Insumos!$I$5:$I$56,MATCH(C9,Insumos!$A$5:$A$56,0)),0)</f>
        <v>0.2</v>
      </c>
      <c r="G9" s="9" t="n">
        <f aca="false">D9*F9</f>
        <v>0.2</v>
      </c>
    </row>
    <row r="10" customFormat="false" ht="15" hidden="false" customHeight="false" outlineLevel="0" collapsed="false">
      <c r="A10" s="2" t="s">
        <v>16</v>
      </c>
      <c r="B10" s="3" t="s">
        <v>17</v>
      </c>
      <c r="C10" s="2" t="s">
        <v>201</v>
      </c>
      <c r="D10" s="14" t="n">
        <v>0.5</v>
      </c>
      <c r="E10" s="15" t="str">
        <f aca="false">IFERROR(INDEX(Insumos!$F$5:$F$56,MATCH(C10,Insumos!$A$5:$A$56,0)),"?")</f>
        <v>lb</v>
      </c>
      <c r="F10" s="23" t="n">
        <f aca="false">IFERROR(INDEX(Insumos!$I$5:$I$56,MATCH(C10,Insumos!$A$5:$A$56,0)),0)</f>
        <v>5.88235294117647</v>
      </c>
      <c r="G10" s="9" t="n">
        <f aca="false">D10*F10</f>
        <v>2.94117647058824</v>
      </c>
    </row>
    <row r="11" customFormat="false" ht="15" hidden="false" customHeight="false" outlineLevel="0" collapsed="false">
      <c r="A11" s="2" t="s">
        <v>16</v>
      </c>
      <c r="B11" s="3" t="s">
        <v>17</v>
      </c>
      <c r="C11" s="2" t="s">
        <v>232</v>
      </c>
      <c r="D11" s="14" t="n">
        <v>3</v>
      </c>
      <c r="E11" s="15" t="str">
        <f aca="false">IFERROR(INDEX(Insumos!$F$5:$F$56,MATCH(C11,Insumos!$A$5:$A$56,0)),"?")</f>
        <v>unidad</v>
      </c>
      <c r="F11" s="23" t="n">
        <f aca="false">IFERROR(INDEX(Insumos!$I$5:$I$56,MATCH(C11,Insumos!$A$5:$A$56,0)),0)</f>
        <v>0.25</v>
      </c>
      <c r="G11" s="9" t="n">
        <f aca="false">D11*F11</f>
        <v>0.75</v>
      </c>
    </row>
    <row r="12" customFormat="false" ht="15" hidden="false" customHeight="false" outlineLevel="0" collapsed="false">
      <c r="A12" s="2" t="s">
        <v>16</v>
      </c>
      <c r="B12" s="3" t="s">
        <v>17</v>
      </c>
      <c r="C12" s="2" t="s">
        <v>255</v>
      </c>
      <c r="D12" s="14" t="n">
        <v>3</v>
      </c>
      <c r="E12" s="15" t="str">
        <f aca="false">IFERROR(INDEX(Insumos!$F$5:$F$56,MATCH(C12,Insumos!$A$5:$A$56,0)),"?")</f>
        <v>unidad</v>
      </c>
      <c r="F12" s="23" t="n">
        <f aca="false">IFERROR(INDEX(Insumos!$I$5:$I$56,MATCH(C12,Insumos!$A$5:$A$56,0)),0)</f>
        <v>0.2</v>
      </c>
      <c r="G12" s="9" t="n">
        <f aca="false">D12*F12</f>
        <v>0.6</v>
      </c>
    </row>
    <row r="13" customFormat="false" ht="15" hidden="false" customHeight="false" outlineLevel="0" collapsed="false">
      <c r="A13" s="2" t="s">
        <v>16</v>
      </c>
      <c r="B13" s="3" t="s">
        <v>17</v>
      </c>
      <c r="C13" s="2" t="s">
        <v>308</v>
      </c>
      <c r="D13" s="14" t="n">
        <v>1</v>
      </c>
      <c r="E13" s="15" t="str">
        <f aca="false">IFERROR(INDEX(Insumos!$F$5:$F$56,MATCH(C13,Insumos!$A$5:$A$56,0)),"?")</f>
        <v>unidad</v>
      </c>
      <c r="F13" s="23" t="n">
        <f aca="false">IFERROR(INDEX(Insumos!$I$5:$I$56,MATCH(C13,Insumos!$A$5:$A$56,0)),0)</f>
        <v>0.2</v>
      </c>
      <c r="G13" s="9" t="n">
        <f aca="false">D13*F13</f>
        <v>0.2</v>
      </c>
    </row>
    <row r="14" customFormat="false" ht="15" hidden="false" customHeight="false" outlineLevel="0" collapsed="false">
      <c r="A14" s="2" t="s">
        <v>18</v>
      </c>
      <c r="B14" s="3" t="s">
        <v>19</v>
      </c>
      <c r="C14" s="2" t="s">
        <v>240</v>
      </c>
      <c r="D14" s="14" t="n">
        <v>8</v>
      </c>
      <c r="E14" s="15" t="str">
        <f aca="false">IFERROR(INDEX(Insumos!$F$5:$F$56,MATCH(C14,Insumos!$A$5:$A$56,0)),"?")</f>
        <v>unidad</v>
      </c>
      <c r="F14" s="23" t="n">
        <f aca="false">IFERROR(INDEX(Insumos!$I$5:$I$56,MATCH(C14,Insumos!$A$5:$A$56,0)),0)</f>
        <v>0.1</v>
      </c>
      <c r="G14" s="9" t="n">
        <f aca="false">D14*F14</f>
        <v>0.8</v>
      </c>
    </row>
    <row r="15" customFormat="false" ht="15" hidden="false" customHeight="false" outlineLevel="0" collapsed="false">
      <c r="A15" s="2" t="s">
        <v>18</v>
      </c>
      <c r="B15" s="3" t="s">
        <v>19</v>
      </c>
      <c r="C15" s="2" t="s">
        <v>298</v>
      </c>
      <c r="D15" s="14" t="n">
        <v>1</v>
      </c>
      <c r="E15" s="15" t="str">
        <f aca="false">IFERROR(INDEX(Insumos!$F$5:$F$56,MATCH(C15,Insumos!$A$5:$A$56,0)),"?")</f>
        <v>unidad</v>
      </c>
      <c r="F15" s="23" t="n">
        <f aca="false">IFERROR(INDEX(Insumos!$I$5:$I$56,MATCH(C15,Insumos!$A$5:$A$56,0)),0)</f>
        <v>0.25</v>
      </c>
      <c r="G15" s="9" t="n">
        <f aca="false">D15*F15</f>
        <v>0.25</v>
      </c>
    </row>
    <row r="16" customFormat="false" ht="15" hidden="false" customHeight="false" outlineLevel="0" collapsed="false">
      <c r="A16" s="2" t="s">
        <v>18</v>
      </c>
      <c r="B16" s="3" t="s">
        <v>19</v>
      </c>
      <c r="C16" s="2" t="s">
        <v>203</v>
      </c>
      <c r="D16" s="14" t="n">
        <v>0.3</v>
      </c>
      <c r="E16" s="15" t="str">
        <f aca="false">IFERROR(INDEX(Insumos!$F$5:$F$56,MATCH(C16,Insumos!$A$5:$A$56,0)),"?")</f>
        <v>lb</v>
      </c>
      <c r="F16" s="23" t="n">
        <f aca="false">IFERROR(INDEX(Insumos!$I$5:$I$56,MATCH(C16,Insumos!$A$5:$A$56,0)),0)</f>
        <v>5.625</v>
      </c>
      <c r="G16" s="9" t="n">
        <f aca="false">D16*F16</f>
        <v>1.6875</v>
      </c>
    </row>
    <row r="17" customFormat="false" ht="15" hidden="false" customHeight="false" outlineLevel="0" collapsed="false">
      <c r="A17" s="2" t="s">
        <v>18</v>
      </c>
      <c r="B17" s="3" t="s">
        <v>19</v>
      </c>
      <c r="C17" s="2" t="s">
        <v>259</v>
      </c>
      <c r="D17" s="14" t="n">
        <v>3</v>
      </c>
      <c r="E17" s="15" t="str">
        <f aca="false">IFERROR(INDEX(Insumos!$F$5:$F$56,MATCH(C17,Insumos!$A$5:$A$56,0)),"?")</f>
        <v>oz</v>
      </c>
      <c r="F17" s="23" t="n">
        <f aca="false">IFERROR(INDEX(Insumos!$I$5:$I$56,MATCH(C17,Insumos!$A$5:$A$56,0)),0)</f>
        <v>0.25</v>
      </c>
      <c r="G17" s="9" t="n">
        <f aca="false">D17*F17</f>
        <v>0.75</v>
      </c>
    </row>
    <row r="18" customFormat="false" ht="15" hidden="false" customHeight="false" outlineLevel="0" collapsed="false">
      <c r="A18" s="2" t="s">
        <v>18</v>
      </c>
      <c r="B18" s="3" t="s">
        <v>19</v>
      </c>
      <c r="C18" s="2" t="s">
        <v>314</v>
      </c>
      <c r="D18" s="14" t="n">
        <v>3</v>
      </c>
      <c r="E18" s="15" t="str">
        <f aca="false">IFERROR(INDEX(Insumos!$F$5:$F$56,MATCH(C18,Insumos!$A$5:$A$56,0)),"?")</f>
        <v>oz</v>
      </c>
      <c r="F18" s="23" t="n">
        <f aca="false">IFERROR(INDEX(Insumos!$I$5:$I$56,MATCH(C18,Insumos!$A$5:$A$56,0)),0)</f>
        <v>0.1025</v>
      </c>
      <c r="G18" s="9" t="n">
        <f aca="false">D18*F18</f>
        <v>0.3075</v>
      </c>
    </row>
    <row r="19" customFormat="false" ht="15" hidden="false" customHeight="false" outlineLevel="0" collapsed="false">
      <c r="A19" s="2" t="s">
        <v>18</v>
      </c>
      <c r="B19" s="3" t="s">
        <v>19</v>
      </c>
      <c r="C19" s="2" t="s">
        <v>311</v>
      </c>
      <c r="D19" s="14" t="n">
        <v>3</v>
      </c>
      <c r="E19" s="15" t="str">
        <f aca="false">IFERROR(INDEX(Insumos!$F$5:$F$56,MATCH(C19,Insumos!$A$5:$A$56,0)),"?")</f>
        <v>oz</v>
      </c>
      <c r="F19" s="23" t="n">
        <f aca="false">IFERROR(INDEX(Insumos!$I$5:$I$56,MATCH(C19,Insumos!$A$5:$A$56,0)),0)</f>
        <v>0.21875</v>
      </c>
      <c r="G19" s="9" t="n">
        <f aca="false">D19*F19</f>
        <v>0.65625</v>
      </c>
    </row>
    <row r="20" customFormat="false" ht="15" hidden="false" customHeight="false" outlineLevel="0" collapsed="false">
      <c r="A20" s="2" t="s">
        <v>20</v>
      </c>
      <c r="B20" s="3" t="s">
        <v>21</v>
      </c>
      <c r="C20" s="2" t="s">
        <v>240</v>
      </c>
      <c r="D20" s="14" t="n">
        <v>8</v>
      </c>
      <c r="E20" s="15" t="str">
        <f aca="false">IFERROR(INDEX(Insumos!$F$5:$F$56,MATCH(C20,Insumos!$A$5:$A$56,0)),"?")</f>
        <v>unidad</v>
      </c>
      <c r="F20" s="23" t="n">
        <f aca="false">IFERROR(INDEX(Insumos!$I$5:$I$56,MATCH(C20,Insumos!$A$5:$A$56,0)),0)</f>
        <v>0.1</v>
      </c>
      <c r="G20" s="9" t="n">
        <f aca="false">D20*F20</f>
        <v>0.8</v>
      </c>
    </row>
    <row r="21" customFormat="false" ht="15" hidden="false" customHeight="false" outlineLevel="0" collapsed="false">
      <c r="A21" s="2" t="s">
        <v>20</v>
      </c>
      <c r="B21" s="3" t="s">
        <v>21</v>
      </c>
      <c r="C21" s="2" t="s">
        <v>298</v>
      </c>
      <c r="D21" s="14" t="n">
        <v>1</v>
      </c>
      <c r="E21" s="15" t="str">
        <f aca="false">IFERROR(INDEX(Insumos!$F$5:$F$56,MATCH(C21,Insumos!$A$5:$A$56,0)),"?")</f>
        <v>unidad</v>
      </c>
      <c r="F21" s="23" t="n">
        <f aca="false">IFERROR(INDEX(Insumos!$I$5:$I$56,MATCH(C21,Insumos!$A$5:$A$56,0)),0)</f>
        <v>0.25</v>
      </c>
      <c r="G21" s="9" t="n">
        <f aca="false">D21*F21</f>
        <v>0.25</v>
      </c>
    </row>
    <row r="22" customFormat="false" ht="15" hidden="false" customHeight="false" outlineLevel="0" collapsed="false">
      <c r="A22" s="2" t="s">
        <v>20</v>
      </c>
      <c r="B22" s="3" t="s">
        <v>21</v>
      </c>
      <c r="C22" s="2" t="s">
        <v>205</v>
      </c>
      <c r="D22" s="14" t="n">
        <v>0.35</v>
      </c>
      <c r="E22" s="15" t="str">
        <f aca="false">IFERROR(INDEX(Insumos!$F$5:$F$56,MATCH(C22,Insumos!$A$5:$A$56,0)),"?")</f>
        <v>lb</v>
      </c>
      <c r="F22" s="23" t="n">
        <f aca="false">IFERROR(INDEX(Insumos!$I$5:$I$56,MATCH(C22,Insumos!$A$5:$A$56,0)),0)</f>
        <v>3.33333333333333</v>
      </c>
      <c r="G22" s="9" t="n">
        <f aca="false">D22*F22</f>
        <v>1.16666666666667</v>
      </c>
    </row>
    <row r="23" customFormat="false" ht="15" hidden="false" customHeight="false" outlineLevel="0" collapsed="false">
      <c r="A23" s="2" t="s">
        <v>20</v>
      </c>
      <c r="B23" s="3" t="s">
        <v>21</v>
      </c>
      <c r="C23" s="2" t="s">
        <v>259</v>
      </c>
      <c r="D23" s="14" t="n">
        <v>3</v>
      </c>
      <c r="E23" s="15" t="str">
        <f aca="false">IFERROR(INDEX(Insumos!$F$5:$F$56,MATCH(C23,Insumos!$A$5:$A$56,0)),"?")</f>
        <v>oz</v>
      </c>
      <c r="F23" s="23" t="n">
        <f aca="false">IFERROR(INDEX(Insumos!$I$5:$I$56,MATCH(C23,Insumos!$A$5:$A$56,0)),0)</f>
        <v>0.25</v>
      </c>
      <c r="G23" s="9" t="n">
        <f aca="false">D23*F23</f>
        <v>0.75</v>
      </c>
    </row>
    <row r="24" customFormat="false" ht="15" hidden="false" customHeight="false" outlineLevel="0" collapsed="false">
      <c r="A24" s="2" t="s">
        <v>20</v>
      </c>
      <c r="B24" s="3" t="s">
        <v>21</v>
      </c>
      <c r="C24" s="2" t="s">
        <v>314</v>
      </c>
      <c r="D24" s="14" t="n">
        <v>3</v>
      </c>
      <c r="E24" s="15" t="str">
        <f aca="false">IFERROR(INDEX(Insumos!$F$5:$F$56,MATCH(C24,Insumos!$A$5:$A$56,0)),"?")</f>
        <v>oz</v>
      </c>
      <c r="F24" s="23" t="n">
        <f aca="false">IFERROR(INDEX(Insumos!$I$5:$I$56,MATCH(C24,Insumos!$A$5:$A$56,0)),0)</f>
        <v>0.1025</v>
      </c>
      <c r="G24" s="9" t="n">
        <f aca="false">D24*F24</f>
        <v>0.3075</v>
      </c>
    </row>
    <row r="25" customFormat="false" ht="15" hidden="false" customHeight="false" outlineLevel="0" collapsed="false">
      <c r="A25" s="2" t="s">
        <v>20</v>
      </c>
      <c r="B25" s="3" t="s">
        <v>21</v>
      </c>
      <c r="C25" s="2" t="s">
        <v>311</v>
      </c>
      <c r="D25" s="14" t="n">
        <v>3</v>
      </c>
      <c r="E25" s="15" t="str">
        <f aca="false">IFERROR(INDEX(Insumos!$F$5:$F$56,MATCH(C25,Insumos!$A$5:$A$56,0)),"?")</f>
        <v>oz</v>
      </c>
      <c r="F25" s="23" t="n">
        <f aca="false">IFERROR(INDEX(Insumos!$I$5:$I$56,MATCH(C25,Insumos!$A$5:$A$56,0)),0)</f>
        <v>0.21875</v>
      </c>
      <c r="G25" s="9" t="n">
        <f aca="false">D25*F25</f>
        <v>0.65625</v>
      </c>
    </row>
    <row r="26" customFormat="false" ht="15" hidden="false" customHeight="false" outlineLevel="0" collapsed="false">
      <c r="A26" s="2" t="s">
        <v>22</v>
      </c>
      <c r="B26" s="3" t="s">
        <v>23</v>
      </c>
      <c r="C26" s="2" t="s">
        <v>211</v>
      </c>
      <c r="D26" s="14" t="n">
        <v>2</v>
      </c>
      <c r="E26" s="15" t="str">
        <f aca="false">IFERROR(INDEX(Insumos!$F$5:$F$56,MATCH(C26,Insumos!$A$5:$A$56,0)),"?")</f>
        <v>unidad</v>
      </c>
      <c r="F26" s="23" t="n">
        <f aca="false">IFERROR(INDEX(Insumos!$I$5:$I$56,MATCH(C26,Insumos!$A$5:$A$56,0)),0)</f>
        <v>1.25</v>
      </c>
      <c r="G26" s="9" t="n">
        <f aca="false">D26*F26</f>
        <v>2.5</v>
      </c>
    </row>
    <row r="27" customFormat="false" ht="15" hidden="false" customHeight="false" outlineLevel="0" collapsed="false">
      <c r="A27" s="2" t="s">
        <v>22</v>
      </c>
      <c r="B27" s="3" t="s">
        <v>23</v>
      </c>
      <c r="C27" s="2" t="s">
        <v>273</v>
      </c>
      <c r="D27" s="14" t="n">
        <v>2</v>
      </c>
      <c r="E27" s="15" t="str">
        <f aca="false">IFERROR(INDEX(Insumos!$F$5:$F$56,MATCH(C27,Insumos!$A$5:$A$56,0)),"?")</f>
        <v>oz</v>
      </c>
      <c r="F27" s="23" t="n">
        <f aca="false">IFERROR(INDEX(Insumos!$I$5:$I$56,MATCH(C27,Insumos!$A$5:$A$56,0)),0)</f>
        <v>0.15</v>
      </c>
      <c r="G27" s="9" t="n">
        <f aca="false">D27*F27</f>
        <v>0.3</v>
      </c>
    </row>
    <row r="28" customFormat="false" ht="15" hidden="false" customHeight="false" outlineLevel="0" collapsed="false">
      <c r="A28" s="2" t="s">
        <v>22</v>
      </c>
      <c r="B28" s="3" t="s">
        <v>23</v>
      </c>
      <c r="C28" s="2" t="s">
        <v>308</v>
      </c>
      <c r="D28" s="14" t="n">
        <v>1</v>
      </c>
      <c r="E28" s="15" t="str">
        <f aca="false">IFERROR(INDEX(Insumos!$F$5:$F$56,MATCH(C28,Insumos!$A$5:$A$56,0)),"?")</f>
        <v>unidad</v>
      </c>
      <c r="F28" s="23" t="n">
        <f aca="false">IFERROR(INDEX(Insumos!$I$5:$I$56,MATCH(C28,Insumos!$A$5:$A$56,0)),0)</f>
        <v>0.2</v>
      </c>
      <c r="G28" s="9" t="n">
        <f aca="false">D28*F28</f>
        <v>0.2</v>
      </c>
    </row>
    <row r="29" customFormat="false" ht="15" hidden="false" customHeight="false" outlineLevel="0" collapsed="false">
      <c r="A29" s="2" t="s">
        <v>24</v>
      </c>
      <c r="B29" s="3" t="s">
        <v>25</v>
      </c>
      <c r="C29" s="2" t="s">
        <v>279</v>
      </c>
      <c r="D29" s="14" t="n">
        <v>2</v>
      </c>
      <c r="E29" s="15" t="str">
        <f aca="false">IFERROR(INDEX(Insumos!$F$5:$F$56,MATCH(C29,Insumos!$A$5:$A$56,0)),"?")</f>
        <v>unidad</v>
      </c>
      <c r="F29" s="23" t="n">
        <f aca="false">IFERROR(INDEX(Insumos!$I$5:$I$56,MATCH(C29,Insumos!$A$5:$A$56,0)),0)</f>
        <v>0.35</v>
      </c>
      <c r="G29" s="9" t="n">
        <f aca="false">D29*F29</f>
        <v>0.7</v>
      </c>
    </row>
    <row r="30" customFormat="false" ht="15" hidden="false" customHeight="false" outlineLevel="0" collapsed="false">
      <c r="A30" s="2" t="s">
        <v>24</v>
      </c>
      <c r="B30" s="3" t="s">
        <v>25</v>
      </c>
      <c r="C30" s="2" t="s">
        <v>298</v>
      </c>
      <c r="D30" s="14" t="n">
        <v>1</v>
      </c>
      <c r="E30" s="15" t="str">
        <f aca="false">IFERROR(INDEX(Insumos!$F$5:$F$56,MATCH(C30,Insumos!$A$5:$A$56,0)),"?")</f>
        <v>unidad</v>
      </c>
      <c r="F30" s="23" t="n">
        <f aca="false">IFERROR(INDEX(Insumos!$I$5:$I$56,MATCH(C30,Insumos!$A$5:$A$56,0)),0)</f>
        <v>0.25</v>
      </c>
      <c r="G30" s="9" t="n">
        <f aca="false">D30*F30</f>
        <v>0.25</v>
      </c>
    </row>
    <row r="31" customFormat="false" ht="15" hidden="false" customHeight="false" outlineLevel="0" collapsed="false">
      <c r="A31" s="2" t="s">
        <v>24</v>
      </c>
      <c r="B31" s="3" t="s">
        <v>25</v>
      </c>
      <c r="C31" s="2" t="s">
        <v>301</v>
      </c>
      <c r="D31" s="14" t="n">
        <v>1</v>
      </c>
      <c r="E31" s="15" t="str">
        <f aca="false">IFERROR(INDEX(Insumos!$F$5:$F$56,MATCH(C31,Insumos!$A$5:$A$56,0)),"?")</f>
        <v>unidad</v>
      </c>
      <c r="F31" s="23" t="n">
        <f aca="false">IFERROR(INDEX(Insumos!$I$5:$I$56,MATCH(C31,Insumos!$A$5:$A$56,0)),0)</f>
        <v>0.25</v>
      </c>
      <c r="G31" s="9" t="n">
        <f aca="false">D31*F31</f>
        <v>0.25</v>
      </c>
    </row>
    <row r="32" customFormat="false" ht="15" hidden="false" customHeight="false" outlineLevel="0" collapsed="false">
      <c r="A32" s="2" t="s">
        <v>24</v>
      </c>
      <c r="B32" s="3" t="s">
        <v>25</v>
      </c>
      <c r="C32" s="2" t="s">
        <v>308</v>
      </c>
      <c r="D32" s="14" t="n">
        <v>1</v>
      </c>
      <c r="E32" s="15" t="str">
        <f aca="false">IFERROR(INDEX(Insumos!$F$5:$F$56,MATCH(C32,Insumos!$A$5:$A$56,0)),"?")</f>
        <v>unidad</v>
      </c>
      <c r="F32" s="23" t="n">
        <f aca="false">IFERROR(INDEX(Insumos!$I$5:$I$56,MATCH(C32,Insumos!$A$5:$A$56,0)),0)</f>
        <v>0.2</v>
      </c>
      <c r="G32" s="9" t="n">
        <f aca="false">D32*F32</f>
        <v>0.2</v>
      </c>
    </row>
    <row r="33" customFormat="false" ht="15" hidden="false" customHeight="false" outlineLevel="0" collapsed="false">
      <c r="A33" s="2" t="s">
        <v>26</v>
      </c>
      <c r="B33" s="3" t="s">
        <v>26</v>
      </c>
      <c r="C33" s="2" t="s">
        <v>276</v>
      </c>
      <c r="D33" s="14" t="n">
        <v>6</v>
      </c>
      <c r="E33" s="15" t="str">
        <f aca="false">IFERROR(INDEX(Insumos!$F$5:$F$56,MATCH(C33,Insumos!$A$5:$A$56,0)),"?")</f>
        <v>unidad</v>
      </c>
      <c r="F33" s="23" t="n">
        <f aca="false">IFERROR(INDEX(Insumos!$I$5:$I$56,MATCH(C33,Insumos!$A$5:$A$56,0)),0)</f>
        <v>0.1</v>
      </c>
      <c r="G33" s="9" t="n">
        <f aca="false">D33*F33</f>
        <v>0.6</v>
      </c>
    </row>
    <row r="34" customFormat="false" ht="15" hidden="false" customHeight="false" outlineLevel="0" collapsed="false">
      <c r="A34" s="2" t="s">
        <v>26</v>
      </c>
      <c r="B34" s="3" t="s">
        <v>26</v>
      </c>
      <c r="C34" s="2" t="s">
        <v>261</v>
      </c>
      <c r="D34" s="14" t="n">
        <v>3</v>
      </c>
      <c r="E34" s="15" t="str">
        <f aca="false">IFERROR(INDEX(Insumos!$F$5:$F$56,MATCH(C34,Insumos!$A$5:$A$56,0)),"?")</f>
        <v>oz</v>
      </c>
      <c r="F34" s="23" t="n">
        <f aca="false">IFERROR(INDEX(Insumos!$I$5:$I$56,MATCH(C34,Insumos!$A$5:$A$56,0)),0)</f>
        <v>0.2</v>
      </c>
      <c r="G34" s="9" t="n">
        <f aca="false">D34*F34</f>
        <v>0.6</v>
      </c>
    </row>
    <row r="35" customFormat="false" ht="15" hidden="false" customHeight="false" outlineLevel="0" collapsed="false">
      <c r="A35" s="2" t="s">
        <v>26</v>
      </c>
      <c r="B35" s="3" t="s">
        <v>26</v>
      </c>
      <c r="C35" s="2" t="s">
        <v>250</v>
      </c>
      <c r="D35" s="14" t="n">
        <v>2</v>
      </c>
      <c r="E35" s="15" t="str">
        <f aca="false">IFERROR(INDEX(Insumos!$F$5:$F$56,MATCH(C35,Insumos!$A$5:$A$56,0)),"?")</f>
        <v>oz</v>
      </c>
      <c r="F35" s="23" t="n">
        <f aca="false">IFERROR(INDEX(Insumos!$I$5:$I$56,MATCH(C35,Insumos!$A$5:$A$56,0)),0)</f>
        <v>0.0625</v>
      </c>
      <c r="G35" s="9" t="n">
        <f aca="false">D35*F35</f>
        <v>0.125</v>
      </c>
    </row>
    <row r="36" customFormat="false" ht="15" hidden="false" customHeight="false" outlineLevel="0" collapsed="false">
      <c r="A36" s="2" t="s">
        <v>26</v>
      </c>
      <c r="B36" s="3" t="s">
        <v>26</v>
      </c>
      <c r="C36" s="2" t="s">
        <v>298</v>
      </c>
      <c r="D36" s="14" t="n">
        <v>1</v>
      </c>
      <c r="E36" s="15" t="str">
        <f aca="false">IFERROR(INDEX(Insumos!$F$5:$F$56,MATCH(C36,Insumos!$A$5:$A$56,0)),"?")</f>
        <v>unidad</v>
      </c>
      <c r="F36" s="23" t="n">
        <f aca="false">IFERROR(INDEX(Insumos!$I$5:$I$56,MATCH(C36,Insumos!$A$5:$A$56,0)),0)</f>
        <v>0.25</v>
      </c>
      <c r="G36" s="9" t="n">
        <f aca="false">D36*F36</f>
        <v>0.25</v>
      </c>
    </row>
    <row r="37" customFormat="false" ht="15" hidden="false" customHeight="false" outlineLevel="0" collapsed="false">
      <c r="A37" s="2" t="s">
        <v>26</v>
      </c>
      <c r="B37" s="3" t="s">
        <v>26</v>
      </c>
      <c r="C37" s="2" t="s">
        <v>308</v>
      </c>
      <c r="D37" s="14" t="n">
        <v>1</v>
      </c>
      <c r="E37" s="15" t="str">
        <f aca="false">IFERROR(INDEX(Insumos!$F$5:$F$56,MATCH(C37,Insumos!$A$5:$A$56,0)),"?")</f>
        <v>unidad</v>
      </c>
      <c r="F37" s="23" t="n">
        <f aca="false">IFERROR(INDEX(Insumos!$I$5:$I$56,MATCH(C37,Insumos!$A$5:$A$56,0)),0)</f>
        <v>0.2</v>
      </c>
      <c r="G37" s="9" t="n">
        <f aca="false">D37*F37</f>
        <v>0.2</v>
      </c>
    </row>
    <row r="38" customFormat="false" ht="15" hidden="false" customHeight="false" outlineLevel="0" collapsed="false">
      <c r="A38" s="2" t="s">
        <v>27</v>
      </c>
      <c r="B38" s="3" t="s">
        <v>28</v>
      </c>
      <c r="C38" s="2" t="s">
        <v>245</v>
      </c>
      <c r="D38" s="14" t="n">
        <v>8</v>
      </c>
      <c r="E38" s="15" t="str">
        <f aca="false">IFERROR(INDEX(Insumos!$F$5:$F$56,MATCH(C38,Insumos!$A$5:$A$56,0)),"?")</f>
        <v>oz</v>
      </c>
      <c r="F38" s="23" t="n">
        <f aca="false">IFERROR(INDEX(Insumos!$I$5:$I$56,MATCH(C38,Insumos!$A$5:$A$56,0)),0)</f>
        <v>0.05</v>
      </c>
      <c r="G38" s="9" t="n">
        <f aca="false">D38*F38</f>
        <v>0.4</v>
      </c>
    </row>
    <row r="39" customFormat="false" ht="15" hidden="false" customHeight="false" outlineLevel="0" collapsed="false">
      <c r="A39" s="2" t="s">
        <v>27</v>
      </c>
      <c r="B39" s="3" t="s">
        <v>28</v>
      </c>
      <c r="C39" s="2" t="s">
        <v>321</v>
      </c>
      <c r="D39" s="14" t="n">
        <v>6</v>
      </c>
      <c r="E39" s="15" t="str">
        <f aca="false">IFERROR(INDEX(Insumos!$F$5:$F$56,MATCH(C39,Insumos!$A$5:$A$56,0)),"?")</f>
        <v>oz</v>
      </c>
      <c r="F39" s="23" t="n">
        <f aca="false">IFERROR(INDEX(Insumos!$I$5:$I$56,MATCH(C39,Insumos!$A$5:$A$56,0)),0)</f>
        <v>0.39609375</v>
      </c>
      <c r="G39" s="9" t="n">
        <f aca="false">D39*F39</f>
        <v>2.3765625</v>
      </c>
    </row>
    <row r="40" customFormat="false" ht="15" hidden="false" customHeight="false" outlineLevel="0" collapsed="false">
      <c r="A40" s="2" t="s">
        <v>27</v>
      </c>
      <c r="B40" s="3" t="s">
        <v>28</v>
      </c>
      <c r="C40" s="2" t="s">
        <v>298</v>
      </c>
      <c r="D40" s="14" t="n">
        <v>1</v>
      </c>
      <c r="E40" s="15" t="str">
        <f aca="false">IFERROR(INDEX(Insumos!$F$5:$F$56,MATCH(C40,Insumos!$A$5:$A$56,0)),"?")</f>
        <v>unidad</v>
      </c>
      <c r="F40" s="23" t="n">
        <f aca="false">IFERROR(INDEX(Insumos!$I$5:$I$56,MATCH(C40,Insumos!$A$5:$A$56,0)),0)</f>
        <v>0.25</v>
      </c>
      <c r="G40" s="9" t="n">
        <f aca="false">D40*F40</f>
        <v>0.25</v>
      </c>
    </row>
    <row r="41" customFormat="false" ht="15" hidden="false" customHeight="false" outlineLevel="0" collapsed="false">
      <c r="A41" s="2" t="s">
        <v>29</v>
      </c>
      <c r="B41" s="3" t="s">
        <v>29</v>
      </c>
      <c r="C41" s="2" t="s">
        <v>29</v>
      </c>
      <c r="D41" s="14" t="n">
        <v>6</v>
      </c>
      <c r="E41" s="15" t="str">
        <f aca="false">IFERROR(INDEX(Insumos!$F$5:$F$56,MATCH(C41,Insumos!$A$5:$A$56,0)),"?")</f>
        <v>oz</v>
      </c>
      <c r="F41" s="23" t="n">
        <f aca="false">IFERROR(INDEX(Insumos!$I$5:$I$56,MATCH(C41,Insumos!$A$5:$A$56,0)),0)</f>
        <v>0.18625</v>
      </c>
      <c r="G41" s="9" t="n">
        <f aca="false">D41*F41</f>
        <v>1.1175</v>
      </c>
    </row>
    <row r="42" customFormat="false" ht="15" hidden="false" customHeight="false" outlineLevel="0" collapsed="false">
      <c r="A42" s="2" t="s">
        <v>29</v>
      </c>
      <c r="B42" s="3" t="s">
        <v>29</v>
      </c>
      <c r="C42" s="2" t="s">
        <v>243</v>
      </c>
      <c r="D42" s="14" t="n">
        <v>2</v>
      </c>
      <c r="E42" s="15" t="str">
        <f aca="false">IFERROR(INDEX(Insumos!$F$5:$F$56,MATCH(C42,Insumos!$A$5:$A$56,0)),"?")</f>
        <v>unidad</v>
      </c>
      <c r="F42" s="23" t="n">
        <f aca="false">IFERROR(INDEX(Insumos!$I$5:$I$56,MATCH(C42,Insumos!$A$5:$A$56,0)),0)</f>
        <v>0.22</v>
      </c>
      <c r="G42" s="9" t="n">
        <f aca="false">D42*F42</f>
        <v>0.44</v>
      </c>
    </row>
    <row r="43" customFormat="false" ht="15" hidden="false" customHeight="false" outlineLevel="0" collapsed="false">
      <c r="A43" s="2" t="s">
        <v>29</v>
      </c>
      <c r="B43" s="3" t="s">
        <v>29</v>
      </c>
      <c r="C43" s="2" t="s">
        <v>295</v>
      </c>
      <c r="D43" s="14" t="n">
        <v>0.5</v>
      </c>
      <c r="E43" s="15" t="str">
        <f aca="false">IFERROR(INDEX(Insumos!$F$5:$F$56,MATCH(C43,Insumos!$A$5:$A$56,0)),"?")</f>
        <v>oz</v>
      </c>
      <c r="F43" s="23" t="n">
        <f aca="false">IFERROR(INDEX(Insumos!$I$5:$I$56,MATCH(C43,Insumos!$A$5:$A$56,0)),0)</f>
        <v>0.399408284023669</v>
      </c>
      <c r="G43" s="9" t="n">
        <f aca="false">D43*F43</f>
        <v>0.199704142011834</v>
      </c>
    </row>
    <row r="44" customFormat="false" ht="15" hidden="false" customHeight="false" outlineLevel="0" collapsed="false">
      <c r="A44" s="2" t="s">
        <v>30</v>
      </c>
      <c r="B44" s="3" t="s">
        <v>31</v>
      </c>
      <c r="C44" s="2" t="s">
        <v>209</v>
      </c>
      <c r="D44" s="14" t="n">
        <v>1.25</v>
      </c>
      <c r="E44" s="15" t="str">
        <f aca="false">IFERROR(INDEX(Insumos!$F$5:$F$56,MATCH(C44,Insumos!$A$5:$A$56,0)),"?")</f>
        <v>lb</v>
      </c>
      <c r="F44" s="23" t="n">
        <f aca="false">IFERROR(INDEX(Insumos!$I$5:$I$56,MATCH(C44,Insumos!$A$5:$A$56,0)),0)</f>
        <v>2.42105263157895</v>
      </c>
      <c r="G44" s="9" t="n">
        <f aca="false">D44*F44</f>
        <v>3.02631578947368</v>
      </c>
    </row>
    <row r="45" customFormat="false" ht="15" hidden="false" customHeight="false" outlineLevel="0" collapsed="false">
      <c r="A45" s="2" t="s">
        <v>30</v>
      </c>
      <c r="B45" s="3" t="s">
        <v>31</v>
      </c>
      <c r="C45" s="2" t="s">
        <v>317</v>
      </c>
      <c r="D45" s="14" t="n">
        <v>3</v>
      </c>
      <c r="E45" s="15" t="str">
        <f aca="false">IFERROR(INDEX(Insumos!$F$5:$F$56,MATCH(C45,Insumos!$A$5:$A$56,0)),"?")</f>
        <v>oz</v>
      </c>
      <c r="F45" s="23" t="n">
        <f aca="false">IFERROR(INDEX(Insumos!$I$5:$I$56,MATCH(C45,Insumos!$A$5:$A$56,0)),0)</f>
        <v>0.163333333333333</v>
      </c>
      <c r="G45" s="9" t="n">
        <f aca="false">D45*F45</f>
        <v>0.49</v>
      </c>
    </row>
    <row r="46" customFormat="false" ht="15" hidden="false" customHeight="false" outlineLevel="0" collapsed="false">
      <c r="A46" s="2" t="s">
        <v>30</v>
      </c>
      <c r="B46" s="3" t="s">
        <v>31</v>
      </c>
      <c r="C46" s="2" t="s">
        <v>269</v>
      </c>
      <c r="D46" s="14" t="n">
        <v>2</v>
      </c>
      <c r="E46" s="15" t="str">
        <f aca="false">IFERROR(INDEX(Insumos!$F$5:$F$56,MATCH(C46,Insumos!$A$5:$A$56,0)),"?")</f>
        <v>oz</v>
      </c>
      <c r="F46" s="23" t="n">
        <f aca="false">IFERROR(INDEX(Insumos!$I$5:$I$56,MATCH(C46,Insumos!$A$5:$A$56,0)),0)</f>
        <v>0.109375</v>
      </c>
      <c r="G46" s="9" t="n">
        <f aca="false">D46*F46</f>
        <v>0.21875</v>
      </c>
    </row>
    <row r="47" customFormat="false" ht="15" hidden="false" customHeight="false" outlineLevel="0" collapsed="false">
      <c r="A47" s="2" t="s">
        <v>30</v>
      </c>
      <c r="B47" s="3" t="s">
        <v>31</v>
      </c>
      <c r="C47" s="2" t="s">
        <v>298</v>
      </c>
      <c r="D47" s="14" t="n">
        <v>1</v>
      </c>
      <c r="E47" s="15" t="str">
        <f aca="false">IFERROR(INDEX(Insumos!$F$5:$F$56,MATCH(C47,Insumos!$A$5:$A$56,0)),"?")</f>
        <v>unidad</v>
      </c>
      <c r="F47" s="23" t="n">
        <f aca="false">IFERROR(INDEX(Insumos!$I$5:$I$56,MATCH(C47,Insumos!$A$5:$A$56,0)),0)</f>
        <v>0.25</v>
      </c>
      <c r="G47" s="9" t="n">
        <f aca="false">D47*F47</f>
        <v>0.25</v>
      </c>
    </row>
    <row r="48" customFormat="false" ht="15" hidden="false" customHeight="false" outlineLevel="0" collapsed="false">
      <c r="A48" s="2" t="s">
        <v>32</v>
      </c>
      <c r="B48" s="3" t="s">
        <v>33</v>
      </c>
      <c r="C48" s="2" t="s">
        <v>217</v>
      </c>
      <c r="D48" s="14" t="n">
        <v>0.35</v>
      </c>
      <c r="E48" s="15" t="str">
        <f aca="false">IFERROR(INDEX(Insumos!$F$5:$F$56,MATCH(C48,Insumos!$A$5:$A$56,0)),"?")</f>
        <v>lb</v>
      </c>
      <c r="F48" s="23" t="n">
        <f aca="false">IFERROR(INDEX(Insumos!$I$5:$I$56,MATCH(C48,Insumos!$A$5:$A$56,0)),0)</f>
        <v>11.6666666666667</v>
      </c>
      <c r="G48" s="9" t="n">
        <f aca="false">D48*F48</f>
        <v>4.08333333333333</v>
      </c>
    </row>
    <row r="49" customFormat="false" ht="15" hidden="false" customHeight="false" outlineLevel="0" collapsed="false">
      <c r="A49" s="2" t="s">
        <v>32</v>
      </c>
      <c r="B49" s="3" t="s">
        <v>33</v>
      </c>
      <c r="C49" s="2" t="s">
        <v>288</v>
      </c>
      <c r="D49" s="14" t="n">
        <v>4</v>
      </c>
      <c r="E49" s="15" t="str">
        <f aca="false">IFERROR(INDEX(Insumos!$F$5:$F$56,MATCH(C49,Insumos!$A$5:$A$56,0)),"?")</f>
        <v>unidad</v>
      </c>
      <c r="F49" s="23" t="n">
        <f aca="false">IFERROR(INDEX(Insumos!$I$5:$I$56,MATCH(C49,Insumos!$A$5:$A$56,0)),0)</f>
        <v>0.15</v>
      </c>
      <c r="G49" s="9" t="n">
        <f aca="false">D49*F49</f>
        <v>0.6</v>
      </c>
    </row>
    <row r="50" customFormat="false" ht="15" hidden="false" customHeight="false" outlineLevel="0" collapsed="false">
      <c r="A50" s="2" t="s">
        <v>32</v>
      </c>
      <c r="B50" s="3" t="s">
        <v>33</v>
      </c>
      <c r="C50" s="2" t="s">
        <v>290</v>
      </c>
      <c r="D50" s="14" t="n">
        <v>0.1</v>
      </c>
      <c r="E50" s="15" t="str">
        <f aca="false">IFERROR(INDEX(Insumos!$F$5:$F$56,MATCH(C50,Insumos!$A$5:$A$56,0)),"?")</f>
        <v>lb</v>
      </c>
      <c r="F50" s="23" t="n">
        <f aca="false">IFERROR(INDEX(Insumos!$I$5:$I$56,MATCH(C50,Insumos!$A$5:$A$56,0)),0)</f>
        <v>0.888888888888889</v>
      </c>
      <c r="G50" s="9" t="n">
        <f aca="false">D50*F50</f>
        <v>0.0888888888888889</v>
      </c>
    </row>
    <row r="51" customFormat="false" ht="15" hidden="false" customHeight="false" outlineLevel="0" collapsed="false">
      <c r="A51" s="2" t="s">
        <v>32</v>
      </c>
      <c r="B51" s="3" t="s">
        <v>33</v>
      </c>
      <c r="C51" s="2" t="s">
        <v>292</v>
      </c>
      <c r="D51" s="14" t="n">
        <v>0.2</v>
      </c>
      <c r="E51" s="15" t="str">
        <f aca="false">IFERROR(INDEX(Insumos!$F$5:$F$56,MATCH(C51,Insumos!$A$5:$A$56,0)),"?")</f>
        <v>manojo</v>
      </c>
      <c r="F51" s="23" t="n">
        <f aca="false">IFERROR(INDEX(Insumos!$I$5:$I$56,MATCH(C51,Insumos!$A$5:$A$56,0)),0)</f>
        <v>0.5</v>
      </c>
      <c r="G51" s="9" t="n">
        <f aca="false">D51*F51</f>
        <v>0.1</v>
      </c>
    </row>
    <row r="52" customFormat="false" ht="15" hidden="false" customHeight="false" outlineLevel="0" collapsed="false">
      <c r="A52" s="2" t="s">
        <v>32</v>
      </c>
      <c r="B52" s="3" t="s">
        <v>33</v>
      </c>
      <c r="C52" s="2" t="s">
        <v>308</v>
      </c>
      <c r="D52" s="14" t="n">
        <v>1</v>
      </c>
      <c r="E52" s="15" t="str">
        <f aca="false">IFERROR(INDEX(Insumos!$F$5:$F$56,MATCH(C52,Insumos!$A$5:$A$56,0)),"?")</f>
        <v>unidad</v>
      </c>
      <c r="F52" s="23" t="n">
        <f aca="false">IFERROR(INDEX(Insumos!$I$5:$I$56,MATCH(C52,Insumos!$A$5:$A$56,0)),0)</f>
        <v>0.2</v>
      </c>
      <c r="G52" s="9" t="n">
        <f aca="false">D52*F52</f>
        <v>0.2</v>
      </c>
    </row>
    <row r="53" customFormat="false" ht="15" hidden="false" customHeight="false" outlineLevel="0" collapsed="false">
      <c r="A53" s="2" t="s">
        <v>34</v>
      </c>
      <c r="B53" s="3" t="s">
        <v>35</v>
      </c>
      <c r="C53" s="2" t="s">
        <v>220</v>
      </c>
      <c r="D53" s="14" t="n">
        <v>1</v>
      </c>
      <c r="E53" s="15" t="str">
        <f aca="false">IFERROR(INDEX(Insumos!$F$5:$F$56,MATCH(C53,Insumos!$A$5:$A$56,0)),"?")</f>
        <v>lb</v>
      </c>
      <c r="F53" s="23" t="n">
        <f aca="false">IFERROR(INDEX(Insumos!$I$5:$I$56,MATCH(C53,Insumos!$A$5:$A$56,0)),0)</f>
        <v>3.5</v>
      </c>
      <c r="G53" s="9" t="n">
        <f aca="false">D53*F53</f>
        <v>3.5</v>
      </c>
    </row>
    <row r="54" customFormat="false" ht="15" hidden="false" customHeight="false" outlineLevel="0" collapsed="false">
      <c r="A54" s="2" t="s">
        <v>34</v>
      </c>
      <c r="B54" s="3" t="s">
        <v>35</v>
      </c>
      <c r="C54" s="2" t="s">
        <v>319</v>
      </c>
      <c r="D54" s="14" t="n">
        <v>4</v>
      </c>
      <c r="E54" s="15" t="str">
        <f aca="false">IFERROR(INDEX(Insumos!$F$5:$F$56,MATCH(C54,Insumos!$A$5:$A$56,0)),"?")</f>
        <v>oz</v>
      </c>
      <c r="F54" s="23" t="n">
        <f aca="false">IFERROR(INDEX(Insumos!$I$5:$I$56,MATCH(C54,Insumos!$A$5:$A$56,0)),0)</f>
        <v>0.246</v>
      </c>
      <c r="G54" s="9" t="n">
        <f aca="false">D54*F54</f>
        <v>0.984</v>
      </c>
    </row>
    <row r="55" customFormat="false" ht="15" hidden="false" customHeight="false" outlineLevel="0" collapsed="false">
      <c r="A55" s="2" t="s">
        <v>34</v>
      </c>
      <c r="B55" s="3" t="s">
        <v>35</v>
      </c>
      <c r="C55" s="2" t="s">
        <v>237</v>
      </c>
      <c r="D55" s="14" t="n">
        <v>2</v>
      </c>
      <c r="E55" s="15" t="str">
        <f aca="false">IFERROR(INDEX(Insumos!$F$5:$F$56,MATCH(C55,Insumos!$A$5:$A$56,0)),"?")</f>
        <v>unidad</v>
      </c>
      <c r="F55" s="23" t="n">
        <f aca="false">IFERROR(INDEX(Insumos!$I$5:$I$56,MATCH(C55,Insumos!$A$5:$A$56,0)),0)</f>
        <v>0.125</v>
      </c>
      <c r="G55" s="9" t="n">
        <f aca="false">D55*F55</f>
        <v>0.25</v>
      </c>
    </row>
    <row r="56" customFormat="false" ht="15" hidden="false" customHeight="false" outlineLevel="0" collapsed="false">
      <c r="A56" s="2" t="s">
        <v>36</v>
      </c>
      <c r="B56" s="3" t="s">
        <v>37</v>
      </c>
      <c r="C56" s="2" t="s">
        <v>205</v>
      </c>
      <c r="D56" s="14" t="n">
        <v>0.5</v>
      </c>
      <c r="E56" s="15" t="str">
        <f aca="false">IFERROR(INDEX(Insumos!$F$5:$F$56,MATCH(C56,Insumos!$A$5:$A$56,0)),"?")</f>
        <v>lb</v>
      </c>
      <c r="F56" s="23" t="n">
        <f aca="false">IFERROR(INDEX(Insumos!$I$5:$I$56,MATCH(C56,Insumos!$A$5:$A$56,0)),0)</f>
        <v>3.33333333333333</v>
      </c>
      <c r="G56" s="9" t="n">
        <f aca="false">D56*F56</f>
        <v>1.66666666666667</v>
      </c>
    </row>
    <row r="57" customFormat="false" ht="15" hidden="false" customHeight="false" outlineLevel="0" collapsed="false">
      <c r="A57" s="2" t="s">
        <v>36</v>
      </c>
      <c r="B57" s="3" t="s">
        <v>37</v>
      </c>
      <c r="C57" s="2" t="s">
        <v>250</v>
      </c>
      <c r="D57" s="14" t="n">
        <v>2</v>
      </c>
      <c r="E57" s="15" t="str">
        <f aca="false">IFERROR(INDEX(Insumos!$F$5:$F$56,MATCH(C57,Insumos!$A$5:$A$56,0)),"?")</f>
        <v>oz</v>
      </c>
      <c r="F57" s="23" t="n">
        <f aca="false">IFERROR(INDEX(Insumos!$I$5:$I$56,MATCH(C57,Insumos!$A$5:$A$56,0)),0)</f>
        <v>0.0625</v>
      </c>
      <c r="G57" s="9" t="n">
        <f aca="false">D57*F57</f>
        <v>0.125</v>
      </c>
    </row>
    <row r="58" customFormat="false" ht="15" hidden="false" customHeight="false" outlineLevel="0" collapsed="false">
      <c r="A58" s="2" t="s">
        <v>36</v>
      </c>
      <c r="B58" s="3" t="s">
        <v>37</v>
      </c>
      <c r="C58" s="2" t="s">
        <v>317</v>
      </c>
      <c r="D58" s="14" t="n">
        <v>2</v>
      </c>
      <c r="E58" s="15" t="str">
        <f aca="false">IFERROR(INDEX(Insumos!$F$5:$F$56,MATCH(C58,Insumos!$A$5:$A$56,0)),"?")</f>
        <v>oz</v>
      </c>
      <c r="F58" s="23" t="n">
        <f aca="false">IFERROR(INDEX(Insumos!$I$5:$I$56,MATCH(C58,Insumos!$A$5:$A$56,0)),0)</f>
        <v>0.163333333333333</v>
      </c>
      <c r="G58" s="9" t="n">
        <f aca="false">D58*F58</f>
        <v>0.326666666666667</v>
      </c>
    </row>
    <row r="59" customFormat="false" ht="15" hidden="false" customHeight="false" outlineLevel="0" collapsed="false">
      <c r="A59" s="2" t="s">
        <v>36</v>
      </c>
      <c r="B59" s="3" t="s">
        <v>37</v>
      </c>
      <c r="C59" s="2" t="s">
        <v>269</v>
      </c>
      <c r="D59" s="14" t="n">
        <v>2</v>
      </c>
      <c r="E59" s="15" t="str">
        <f aca="false">IFERROR(INDEX(Insumos!$F$5:$F$56,MATCH(C59,Insumos!$A$5:$A$56,0)),"?")</f>
        <v>oz</v>
      </c>
      <c r="F59" s="23" t="n">
        <f aca="false">IFERROR(INDEX(Insumos!$I$5:$I$56,MATCH(C59,Insumos!$A$5:$A$56,0)),0)</f>
        <v>0.109375</v>
      </c>
      <c r="G59" s="9" t="n">
        <f aca="false">D59*F59</f>
        <v>0.21875</v>
      </c>
    </row>
    <row r="60" customFormat="false" ht="15" hidden="false" customHeight="false" outlineLevel="0" collapsed="false">
      <c r="A60" s="2" t="s">
        <v>36</v>
      </c>
      <c r="B60" s="3" t="s">
        <v>37</v>
      </c>
      <c r="C60" s="2" t="s">
        <v>298</v>
      </c>
      <c r="D60" s="14" t="n">
        <v>1</v>
      </c>
      <c r="E60" s="15" t="str">
        <f aca="false">IFERROR(INDEX(Insumos!$F$5:$F$56,MATCH(C60,Insumos!$A$5:$A$56,0)),"?")</f>
        <v>unidad</v>
      </c>
      <c r="F60" s="23" t="n">
        <f aca="false">IFERROR(INDEX(Insumos!$I$5:$I$56,MATCH(C60,Insumos!$A$5:$A$56,0)),0)</f>
        <v>0.25</v>
      </c>
      <c r="G60" s="9" t="n">
        <f aca="false">D60*F60</f>
        <v>0.25</v>
      </c>
    </row>
    <row r="61" customFormat="false" ht="15" hidden="false" customHeight="false" outlineLevel="0" collapsed="false">
      <c r="A61" s="2" t="s">
        <v>38</v>
      </c>
      <c r="B61" s="3" t="s">
        <v>39</v>
      </c>
      <c r="C61" s="2" t="s">
        <v>207</v>
      </c>
      <c r="D61" s="14" t="n">
        <v>1.6</v>
      </c>
      <c r="E61" s="15" t="str">
        <f aca="false">IFERROR(INDEX(Insumos!$F$5:$F$56,MATCH(C61,Insumos!$A$5:$A$56,0)),"?")</f>
        <v>lb</v>
      </c>
      <c r="F61" s="23" t="n">
        <f aca="false">IFERROR(INDEX(Insumos!$I$5:$I$56,MATCH(C61,Insumos!$A$5:$A$56,0)),0)</f>
        <v>1.6</v>
      </c>
      <c r="G61" s="9" t="n">
        <f aca="false">D61*F61</f>
        <v>2.56</v>
      </c>
    </row>
    <row r="62" customFormat="false" ht="15" hidden="false" customHeight="false" outlineLevel="0" collapsed="false">
      <c r="A62" s="2" t="s">
        <v>38</v>
      </c>
      <c r="B62" s="3" t="s">
        <v>39</v>
      </c>
      <c r="C62" s="2" t="s">
        <v>301</v>
      </c>
      <c r="D62" s="14" t="n">
        <v>1</v>
      </c>
      <c r="E62" s="15" t="str">
        <f aca="false">IFERROR(INDEX(Insumos!$F$5:$F$56,MATCH(C62,Insumos!$A$5:$A$56,0)),"?")</f>
        <v>unidad</v>
      </c>
      <c r="F62" s="23" t="n">
        <f aca="false">IFERROR(INDEX(Insumos!$I$5:$I$56,MATCH(C62,Insumos!$A$5:$A$56,0)),0)</f>
        <v>0.25</v>
      </c>
      <c r="G62" s="9" t="n">
        <f aca="false">D62*F62</f>
        <v>0.25</v>
      </c>
    </row>
    <row r="63" customFormat="false" ht="15" hidden="false" customHeight="false" outlineLevel="0" collapsed="false">
      <c r="A63" s="2" t="s">
        <v>38</v>
      </c>
      <c r="B63" s="3" t="s">
        <v>39</v>
      </c>
      <c r="C63" s="2" t="s">
        <v>304</v>
      </c>
      <c r="D63" s="14" t="n">
        <v>1</v>
      </c>
      <c r="E63" s="15" t="str">
        <f aca="false">IFERROR(INDEX(Insumos!$F$5:$F$56,MATCH(C63,Insumos!$A$5:$A$56,0)),"?")</f>
        <v>unidad</v>
      </c>
      <c r="F63" s="23" t="n">
        <f aca="false">IFERROR(INDEX(Insumos!$I$5:$I$56,MATCH(C63,Insumos!$A$5:$A$56,0)),0)</f>
        <v>0.3</v>
      </c>
      <c r="G63" s="9" t="n">
        <f aca="false">D63*F63</f>
        <v>0.3</v>
      </c>
    </row>
    <row r="64" customFormat="false" ht="15" hidden="false" customHeight="false" outlineLevel="0" collapsed="false">
      <c r="A64" s="2" t="s">
        <v>38</v>
      </c>
      <c r="B64" s="3" t="s">
        <v>39</v>
      </c>
      <c r="C64" s="2" t="s">
        <v>326</v>
      </c>
      <c r="D64" s="14" t="n">
        <v>1</v>
      </c>
      <c r="E64" s="15" t="str">
        <f aca="false">IFERROR(INDEX(Insumos!$F$5:$F$56,MATCH(C64,Insumos!$A$5:$A$56,0)),"?")</f>
        <v>unidad</v>
      </c>
      <c r="F64" s="23" t="n">
        <f aca="false">IFERROR(INDEX(Insumos!$I$5:$I$56,MATCH(C64,Insumos!$A$5:$A$56,0)),0)</f>
        <v>0.801840336134454</v>
      </c>
      <c r="G64" s="9" t="n">
        <f aca="false">D64*F64</f>
        <v>0.801840336134454</v>
      </c>
    </row>
    <row r="65" customFormat="false" ht="15" hidden="false" customHeight="false" outlineLevel="0" collapsed="false">
      <c r="A65" s="2" t="s">
        <v>41</v>
      </c>
      <c r="B65" s="3" t="s">
        <v>42</v>
      </c>
      <c r="C65" s="2" t="s">
        <v>201</v>
      </c>
      <c r="D65" s="14" t="n">
        <v>0.5</v>
      </c>
      <c r="E65" s="15" t="str">
        <f aca="false">IFERROR(INDEX(Insumos!$F$5:$F$56,MATCH(C65,Insumos!$A$5:$A$56,0)),"?")</f>
        <v>lb</v>
      </c>
      <c r="F65" s="23" t="n">
        <f aca="false">IFERROR(INDEX(Insumos!$I$5:$I$56,MATCH(C65,Insumos!$A$5:$A$56,0)),0)</f>
        <v>5.88235294117647</v>
      </c>
      <c r="G65" s="9" t="n">
        <f aca="false">D65*F65</f>
        <v>2.94117647058824</v>
      </c>
    </row>
    <row r="66" customFormat="false" ht="15" hidden="false" customHeight="false" outlineLevel="0" collapsed="false">
      <c r="A66" s="2" t="s">
        <v>41</v>
      </c>
      <c r="B66" s="3" t="s">
        <v>42</v>
      </c>
      <c r="C66" s="2" t="s">
        <v>228</v>
      </c>
      <c r="D66" s="14" t="n">
        <v>1</v>
      </c>
      <c r="E66" s="15" t="str">
        <f aca="false">IFERROR(INDEX(Insumos!$F$5:$F$56,MATCH(C66,Insumos!$A$5:$A$56,0)),"?")</f>
        <v>unidad</v>
      </c>
      <c r="F66" s="23" t="n">
        <f aca="false">IFERROR(INDEX(Insumos!$I$5:$I$56,MATCH(C66,Insumos!$A$5:$A$56,0)),0)</f>
        <v>0.55</v>
      </c>
      <c r="G66" s="9" t="n">
        <f aca="false">D66*F66</f>
        <v>0.55</v>
      </c>
    </row>
    <row r="67" customFormat="false" ht="15" hidden="false" customHeight="false" outlineLevel="0" collapsed="false">
      <c r="A67" s="2" t="s">
        <v>41</v>
      </c>
      <c r="B67" s="3" t="s">
        <v>42</v>
      </c>
      <c r="C67" s="2" t="s">
        <v>255</v>
      </c>
      <c r="D67" s="14" t="n">
        <v>2</v>
      </c>
      <c r="E67" s="15" t="str">
        <f aca="false">IFERROR(INDEX(Insumos!$F$5:$F$56,MATCH(C67,Insumos!$A$5:$A$56,0)),"?")</f>
        <v>unidad</v>
      </c>
      <c r="F67" s="23" t="n">
        <f aca="false">IFERROR(INDEX(Insumos!$I$5:$I$56,MATCH(C67,Insumos!$A$5:$A$56,0)),0)</f>
        <v>0.2</v>
      </c>
      <c r="G67" s="9" t="n">
        <f aca="false">D67*F67</f>
        <v>0.4</v>
      </c>
    </row>
    <row r="68" customFormat="false" ht="15" hidden="false" customHeight="false" outlineLevel="0" collapsed="false">
      <c r="A68" s="2" t="s">
        <v>41</v>
      </c>
      <c r="B68" s="3" t="s">
        <v>42</v>
      </c>
      <c r="C68" s="2" t="s">
        <v>315</v>
      </c>
      <c r="D68" s="14" t="n">
        <v>2</v>
      </c>
      <c r="E68" s="15" t="str">
        <f aca="false">IFERROR(INDEX(Insumos!$F$5:$F$56,MATCH(C68,Insumos!$A$5:$A$56,0)),"?")</f>
        <v>oz</v>
      </c>
      <c r="F68" s="23" t="n">
        <f aca="false">IFERROR(INDEX(Insumos!$I$5:$I$56,MATCH(C68,Insumos!$A$5:$A$56,0)),0)</f>
        <v>0.290625</v>
      </c>
      <c r="G68" s="9" t="n">
        <f aca="false">D68*F68</f>
        <v>0.58125</v>
      </c>
    </row>
    <row r="69" customFormat="false" ht="15" hidden="false" customHeight="false" outlineLevel="0" collapsed="false">
      <c r="A69" s="2" t="s">
        <v>41</v>
      </c>
      <c r="B69" s="3" t="s">
        <v>42</v>
      </c>
      <c r="C69" s="2" t="s">
        <v>308</v>
      </c>
      <c r="D69" s="14" t="n">
        <v>1</v>
      </c>
      <c r="E69" s="15" t="str">
        <f aca="false">IFERROR(INDEX(Insumos!$F$5:$F$56,MATCH(C69,Insumos!$A$5:$A$56,0)),"?")</f>
        <v>unidad</v>
      </c>
      <c r="F69" s="23" t="n">
        <f aca="false">IFERROR(INDEX(Insumos!$I$5:$I$56,MATCH(C69,Insumos!$A$5:$A$56,0)),0)</f>
        <v>0.2</v>
      </c>
      <c r="G69" s="9" t="n">
        <f aca="false">D69*F69</f>
        <v>0.2</v>
      </c>
    </row>
    <row r="70" customFormat="false" ht="15" hidden="false" customHeight="false" outlineLevel="0" collapsed="false">
      <c r="A70" s="2" t="s">
        <v>41</v>
      </c>
      <c r="B70" s="3" t="s">
        <v>42</v>
      </c>
      <c r="C70" s="2" t="s">
        <v>326</v>
      </c>
      <c r="D70" s="14" t="n">
        <v>1</v>
      </c>
      <c r="E70" s="15" t="str">
        <f aca="false">IFERROR(INDEX(Insumos!$F$5:$F$56,MATCH(C70,Insumos!$A$5:$A$56,0)),"?")</f>
        <v>unidad</v>
      </c>
      <c r="F70" s="23" t="n">
        <f aca="false">IFERROR(INDEX(Insumos!$I$5:$I$56,MATCH(C70,Insumos!$A$5:$A$56,0)),0)</f>
        <v>0.801840336134454</v>
      </c>
      <c r="G70" s="9" t="n">
        <f aca="false">D70*F70</f>
        <v>0.801840336134454</v>
      </c>
    </row>
    <row r="71" customFormat="false" ht="15" hidden="false" customHeight="false" outlineLevel="0" collapsed="false">
      <c r="A71" s="2" t="s">
        <v>43</v>
      </c>
      <c r="B71" s="3" t="s">
        <v>44</v>
      </c>
      <c r="C71" s="2" t="s">
        <v>222</v>
      </c>
      <c r="D71" s="14" t="n">
        <v>0.75</v>
      </c>
      <c r="E71" s="15" t="str">
        <f aca="false">IFERROR(INDEX(Insumos!$F$5:$F$56,MATCH(C71,Insumos!$A$5:$A$56,0)),"?")</f>
        <v>lb</v>
      </c>
      <c r="F71" s="23" t="n">
        <f aca="false">IFERROR(INDEX(Insumos!$I$5:$I$56,MATCH(C71,Insumos!$A$5:$A$56,0)),0)</f>
        <v>12.2222222222222</v>
      </c>
      <c r="G71" s="9" t="n">
        <f aca="false">D71*F71</f>
        <v>9.16666666666667</v>
      </c>
    </row>
    <row r="72" customFormat="false" ht="15" hidden="false" customHeight="false" outlineLevel="0" collapsed="false">
      <c r="A72" s="2" t="s">
        <v>43</v>
      </c>
      <c r="B72" s="3" t="s">
        <v>44</v>
      </c>
      <c r="C72" s="2" t="s">
        <v>215</v>
      </c>
      <c r="D72" s="14" t="n">
        <v>2</v>
      </c>
      <c r="E72" s="15" t="str">
        <f aca="false">IFERROR(INDEX(Insumos!$F$5:$F$56,MATCH(C72,Insumos!$A$5:$A$56,0)),"?")</f>
        <v>unidad</v>
      </c>
      <c r="F72" s="23" t="n">
        <f aca="false">IFERROR(INDEX(Insumos!$I$5:$I$56,MATCH(C72,Insumos!$A$5:$A$56,0)),0)</f>
        <v>1.1</v>
      </c>
      <c r="G72" s="9" t="n">
        <f aca="false">D72*F72</f>
        <v>2.2</v>
      </c>
    </row>
    <row r="73" customFormat="false" ht="15" hidden="false" customHeight="false" outlineLevel="0" collapsed="false">
      <c r="A73" s="2" t="s">
        <v>43</v>
      </c>
      <c r="B73" s="3" t="s">
        <v>44</v>
      </c>
      <c r="C73" s="2" t="s">
        <v>207</v>
      </c>
      <c r="D73" s="14" t="n">
        <v>1</v>
      </c>
      <c r="E73" s="15" t="str">
        <f aca="false">IFERROR(INDEX(Insumos!$F$5:$F$56,MATCH(C73,Insumos!$A$5:$A$56,0)),"?")</f>
        <v>lb</v>
      </c>
      <c r="F73" s="23" t="n">
        <f aca="false">IFERROR(INDEX(Insumos!$I$5:$I$56,MATCH(C73,Insumos!$A$5:$A$56,0)),0)</f>
        <v>1.6</v>
      </c>
      <c r="G73" s="9" t="n">
        <f aca="false">D73*F73</f>
        <v>1.6</v>
      </c>
    </row>
    <row r="74" customFormat="false" ht="15" hidden="false" customHeight="false" outlineLevel="0" collapsed="false">
      <c r="A74" s="2" t="s">
        <v>43</v>
      </c>
      <c r="B74" s="3" t="s">
        <v>44</v>
      </c>
      <c r="C74" s="2" t="s">
        <v>323</v>
      </c>
      <c r="D74" s="14" t="n">
        <v>3</v>
      </c>
      <c r="E74" s="15" t="str">
        <f aca="false">IFERROR(INDEX(Insumos!$F$5:$F$56,MATCH(C74,Insumos!$A$5:$A$56,0)),"?")</f>
        <v>oz</v>
      </c>
      <c r="F74" s="23" t="n">
        <f aca="false">IFERROR(INDEX(Insumos!$I$5:$I$56,MATCH(C74,Insumos!$A$5:$A$56,0)),0)</f>
        <v>0.15875</v>
      </c>
      <c r="G74" s="9" t="n">
        <f aca="false">D74*F74</f>
        <v>0.47625</v>
      </c>
    </row>
    <row r="75" customFormat="false" ht="15" hidden="false" customHeight="false" outlineLevel="0" collapsed="false">
      <c r="A75" s="2" t="s">
        <v>43</v>
      </c>
      <c r="B75" s="3" t="s">
        <v>44</v>
      </c>
      <c r="C75" s="2" t="s">
        <v>304</v>
      </c>
      <c r="D75" s="14" t="n">
        <v>1</v>
      </c>
      <c r="E75" s="15" t="str">
        <f aca="false">IFERROR(INDEX(Insumos!$F$5:$F$56,MATCH(C75,Insumos!$A$5:$A$56,0)),"?")</f>
        <v>unidad</v>
      </c>
      <c r="F75" s="23" t="n">
        <f aca="false">IFERROR(INDEX(Insumos!$I$5:$I$56,MATCH(C75,Insumos!$A$5:$A$56,0)),0)</f>
        <v>0.3</v>
      </c>
      <c r="G75" s="9" t="n">
        <f aca="false">D75*F75</f>
        <v>0.3</v>
      </c>
    </row>
    <row r="76" customFormat="false" ht="15" hidden="false" customHeight="false" outlineLevel="0" collapsed="false">
      <c r="A76" s="2" t="s">
        <v>43</v>
      </c>
      <c r="B76" s="3" t="s">
        <v>44</v>
      </c>
      <c r="C76" s="2" t="s">
        <v>326</v>
      </c>
      <c r="D76" s="14" t="n">
        <v>1</v>
      </c>
      <c r="E76" s="15" t="str">
        <f aca="false">IFERROR(INDEX(Insumos!$F$5:$F$56,MATCH(C76,Insumos!$A$5:$A$56,0)),"?")</f>
        <v>unidad</v>
      </c>
      <c r="F76" s="23" t="n">
        <f aca="false">IFERROR(INDEX(Insumos!$I$5:$I$56,MATCH(C76,Insumos!$A$5:$A$56,0)),0)</f>
        <v>0.801840336134454</v>
      </c>
      <c r="G76" s="9" t="n">
        <f aca="false">D76*F76</f>
        <v>0.801840336134454</v>
      </c>
    </row>
    <row r="77" customFormat="false" ht="15" hidden="false" customHeight="false" outlineLevel="0" collapsed="false">
      <c r="A77" s="2" t="s">
        <v>45</v>
      </c>
      <c r="B77" s="3" t="s">
        <v>46</v>
      </c>
      <c r="C77" s="2" t="s">
        <v>222</v>
      </c>
      <c r="D77" s="14" t="n">
        <v>0.75</v>
      </c>
      <c r="E77" s="15" t="str">
        <f aca="false">IFERROR(INDEX(Insumos!$F$5:$F$56,MATCH(C77,Insumos!$A$5:$A$56,0)),"?")</f>
        <v>lb</v>
      </c>
      <c r="F77" s="23" t="n">
        <f aca="false">IFERROR(INDEX(Insumos!$I$5:$I$56,MATCH(C77,Insumos!$A$5:$A$56,0)),0)</f>
        <v>12.2222222222222</v>
      </c>
      <c r="G77" s="9" t="n">
        <f aca="false">D77*F77</f>
        <v>9.16666666666667</v>
      </c>
    </row>
    <row r="78" customFormat="false" ht="15" hidden="false" customHeight="false" outlineLevel="0" collapsed="false">
      <c r="A78" s="2" t="s">
        <v>45</v>
      </c>
      <c r="B78" s="3" t="s">
        <v>46</v>
      </c>
      <c r="C78" s="2" t="s">
        <v>323</v>
      </c>
      <c r="D78" s="14" t="n">
        <v>2</v>
      </c>
      <c r="E78" s="15" t="str">
        <f aca="false">IFERROR(INDEX(Insumos!$F$5:$F$56,MATCH(C78,Insumos!$A$5:$A$56,0)),"?")</f>
        <v>oz</v>
      </c>
      <c r="F78" s="23" t="n">
        <f aca="false">IFERROR(INDEX(Insumos!$I$5:$I$56,MATCH(C78,Insumos!$A$5:$A$56,0)),0)</f>
        <v>0.15875</v>
      </c>
      <c r="G78" s="9" t="n">
        <f aca="false">D78*F78</f>
        <v>0.3175</v>
      </c>
    </row>
    <row r="79" customFormat="false" ht="15" hidden="false" customHeight="false" outlineLevel="0" collapsed="false">
      <c r="A79" s="2" t="s">
        <v>45</v>
      </c>
      <c r="B79" s="3" t="s">
        <v>46</v>
      </c>
      <c r="C79" s="2" t="s">
        <v>304</v>
      </c>
      <c r="D79" s="14" t="n">
        <v>1</v>
      </c>
      <c r="E79" s="15" t="str">
        <f aca="false">IFERROR(INDEX(Insumos!$F$5:$F$56,MATCH(C79,Insumos!$A$5:$A$56,0)),"?")</f>
        <v>unidad</v>
      </c>
      <c r="F79" s="23" t="n">
        <f aca="false">IFERROR(INDEX(Insumos!$I$5:$I$56,MATCH(C79,Insumos!$A$5:$A$56,0)),0)</f>
        <v>0.3</v>
      </c>
      <c r="G79" s="9" t="n">
        <f aca="false">D79*F79</f>
        <v>0.3</v>
      </c>
    </row>
    <row r="80" customFormat="false" ht="15" hidden="false" customHeight="false" outlineLevel="0" collapsed="false">
      <c r="A80" s="2" t="s">
        <v>45</v>
      </c>
      <c r="B80" s="3" t="s">
        <v>46</v>
      </c>
      <c r="C80" s="2" t="s">
        <v>326</v>
      </c>
      <c r="D80" s="14" t="n">
        <v>1</v>
      </c>
      <c r="E80" s="15" t="str">
        <f aca="false">IFERROR(INDEX(Insumos!$F$5:$F$56,MATCH(C80,Insumos!$A$5:$A$56,0)),"?")</f>
        <v>unidad</v>
      </c>
      <c r="F80" s="23" t="n">
        <f aca="false">IFERROR(INDEX(Insumos!$I$5:$I$56,MATCH(C80,Insumos!$A$5:$A$56,0)),0)</f>
        <v>0.801840336134454</v>
      </c>
      <c r="G80" s="9" t="n">
        <f aca="false">D80*F80</f>
        <v>0.801840336134454</v>
      </c>
    </row>
    <row r="81" customFormat="false" ht="15" hidden="false" customHeight="false" outlineLevel="0" collapsed="false">
      <c r="A81" s="2" t="s">
        <v>47</v>
      </c>
      <c r="B81" s="3" t="s">
        <v>48</v>
      </c>
      <c r="C81" s="2" t="s">
        <v>224</v>
      </c>
      <c r="D81" s="14" t="n">
        <v>0.625</v>
      </c>
      <c r="E81" s="15" t="str">
        <f aca="false">IFERROR(INDEX(Insumos!$F$5:$F$56,MATCH(C81,Insumos!$A$5:$A$56,0)),"?")</f>
        <v>lb</v>
      </c>
      <c r="F81" s="23" t="n">
        <f aca="false">IFERROR(INDEX(Insumos!$I$5:$I$56,MATCH(C81,Insumos!$A$5:$A$56,0)),0)</f>
        <v>14.1176470588235</v>
      </c>
      <c r="G81" s="9" t="n">
        <f aca="false">D81*F81</f>
        <v>8.82352941176471</v>
      </c>
    </row>
    <row r="82" customFormat="false" ht="15" hidden="false" customHeight="false" outlineLevel="0" collapsed="false">
      <c r="A82" s="2" t="s">
        <v>47</v>
      </c>
      <c r="B82" s="3" t="s">
        <v>48</v>
      </c>
      <c r="C82" s="2" t="s">
        <v>323</v>
      </c>
      <c r="D82" s="14" t="n">
        <v>2</v>
      </c>
      <c r="E82" s="15" t="str">
        <f aca="false">IFERROR(INDEX(Insumos!$F$5:$F$56,MATCH(C82,Insumos!$A$5:$A$56,0)),"?")</f>
        <v>oz</v>
      </c>
      <c r="F82" s="23" t="n">
        <f aca="false">IFERROR(INDEX(Insumos!$I$5:$I$56,MATCH(C82,Insumos!$A$5:$A$56,0)),0)</f>
        <v>0.15875</v>
      </c>
      <c r="G82" s="9" t="n">
        <f aca="false">D82*F82</f>
        <v>0.3175</v>
      </c>
    </row>
    <row r="83" customFormat="false" ht="15" hidden="false" customHeight="false" outlineLevel="0" collapsed="false">
      <c r="A83" s="2" t="s">
        <v>47</v>
      </c>
      <c r="B83" s="3" t="s">
        <v>48</v>
      </c>
      <c r="C83" s="2" t="s">
        <v>304</v>
      </c>
      <c r="D83" s="14" t="n">
        <v>1</v>
      </c>
      <c r="E83" s="15" t="str">
        <f aca="false">IFERROR(INDEX(Insumos!$F$5:$F$56,MATCH(C83,Insumos!$A$5:$A$56,0)),"?")</f>
        <v>unidad</v>
      </c>
      <c r="F83" s="23" t="n">
        <f aca="false">IFERROR(INDEX(Insumos!$I$5:$I$56,MATCH(C83,Insumos!$A$5:$A$56,0)),0)</f>
        <v>0.3</v>
      </c>
      <c r="G83" s="9" t="n">
        <f aca="false">D83*F83</f>
        <v>0.3</v>
      </c>
    </row>
    <row r="84" customFormat="false" ht="15" hidden="false" customHeight="false" outlineLevel="0" collapsed="false">
      <c r="A84" s="2" t="s">
        <v>47</v>
      </c>
      <c r="B84" s="3" t="s">
        <v>48</v>
      </c>
      <c r="C84" s="2" t="s">
        <v>326</v>
      </c>
      <c r="D84" s="14" t="n">
        <v>1</v>
      </c>
      <c r="E84" s="15" t="str">
        <f aca="false">IFERROR(INDEX(Insumos!$F$5:$F$56,MATCH(C84,Insumos!$A$5:$A$56,0)),"?")</f>
        <v>unidad</v>
      </c>
      <c r="F84" s="23" t="n">
        <f aca="false">IFERROR(INDEX(Insumos!$I$5:$I$56,MATCH(C84,Insumos!$A$5:$A$56,0)),0)</f>
        <v>0.801840336134454</v>
      </c>
      <c r="G84" s="9" t="n">
        <f aca="false">D84*F84</f>
        <v>0.801840336134454</v>
      </c>
    </row>
    <row r="85" customFormat="false" ht="15" hidden="false" customHeight="false" outlineLevel="0" collapsed="false">
      <c r="A85" s="2" t="s">
        <v>49</v>
      </c>
      <c r="B85" s="3" t="s">
        <v>50</v>
      </c>
      <c r="C85" s="2" t="s">
        <v>226</v>
      </c>
      <c r="D85" s="14" t="n">
        <v>0.5</v>
      </c>
      <c r="E85" s="15" t="str">
        <f aca="false">IFERROR(INDEX(Insumos!$F$5:$F$56,MATCH(C85,Insumos!$A$5:$A$56,0)),"?")</f>
        <v>lb</v>
      </c>
      <c r="F85" s="23" t="n">
        <f aca="false">IFERROR(INDEX(Insumos!$I$5:$I$56,MATCH(C85,Insumos!$A$5:$A$56,0)),0)</f>
        <v>11.1111111111111</v>
      </c>
      <c r="G85" s="9" t="n">
        <f aca="false">D85*F85</f>
        <v>5.55555555555556</v>
      </c>
    </row>
    <row r="86" customFormat="false" ht="15" hidden="false" customHeight="false" outlineLevel="0" collapsed="false">
      <c r="A86" s="2" t="s">
        <v>49</v>
      </c>
      <c r="B86" s="3" t="s">
        <v>50</v>
      </c>
      <c r="C86" s="2" t="s">
        <v>267</v>
      </c>
      <c r="D86" s="14" t="n">
        <v>0.05</v>
      </c>
      <c r="E86" s="15" t="str">
        <f aca="false">IFERROR(INDEX(Insumos!$F$5:$F$56,MATCH(C86,Insumos!$A$5:$A$56,0)),"?")</f>
        <v>lb</v>
      </c>
      <c r="F86" s="23" t="n">
        <f aca="false">IFERROR(INDEX(Insumos!$I$5:$I$56,MATCH(C86,Insumos!$A$5:$A$56,0)),0)</f>
        <v>4</v>
      </c>
      <c r="G86" s="9" t="n">
        <f aca="false">D86*F86</f>
        <v>0.2</v>
      </c>
    </row>
    <row r="87" customFormat="false" ht="15" hidden="false" customHeight="false" outlineLevel="0" collapsed="false">
      <c r="A87" s="2" t="s">
        <v>49</v>
      </c>
      <c r="B87" s="3" t="s">
        <v>50</v>
      </c>
      <c r="C87" s="2" t="s">
        <v>288</v>
      </c>
      <c r="D87" s="14" t="n">
        <v>1</v>
      </c>
      <c r="E87" s="15" t="str">
        <f aca="false">IFERROR(INDEX(Insumos!$F$5:$F$56,MATCH(C87,Insumos!$A$5:$A$56,0)),"?")</f>
        <v>unidad</v>
      </c>
      <c r="F87" s="23" t="n">
        <f aca="false">IFERROR(INDEX(Insumos!$I$5:$I$56,MATCH(C87,Insumos!$A$5:$A$56,0)),0)</f>
        <v>0.15</v>
      </c>
      <c r="G87" s="9" t="n">
        <f aca="false">D87*F87</f>
        <v>0.15</v>
      </c>
    </row>
    <row r="88" customFormat="false" ht="15" hidden="false" customHeight="false" outlineLevel="0" collapsed="false">
      <c r="A88" s="2" t="s">
        <v>49</v>
      </c>
      <c r="B88" s="3" t="s">
        <v>50</v>
      </c>
      <c r="C88" s="2" t="s">
        <v>326</v>
      </c>
      <c r="D88" s="14" t="n">
        <v>1</v>
      </c>
      <c r="E88" s="15" t="str">
        <f aca="false">IFERROR(INDEX(Insumos!$F$5:$F$56,MATCH(C88,Insumos!$A$5:$A$56,0)),"?")</f>
        <v>unidad</v>
      </c>
      <c r="F88" s="23" t="n">
        <f aca="false">IFERROR(INDEX(Insumos!$I$5:$I$56,MATCH(C88,Insumos!$A$5:$A$56,0)),0)</f>
        <v>0.801840336134454</v>
      </c>
      <c r="G88" s="9" t="n">
        <f aca="false">D88*F88</f>
        <v>0.801840336134454</v>
      </c>
    </row>
    <row r="89" customFormat="false" ht="15" hidden="false" customHeight="false" outlineLevel="0" collapsed="false">
      <c r="A89" s="2" t="s">
        <v>51</v>
      </c>
      <c r="B89" s="3" t="s">
        <v>52</v>
      </c>
      <c r="C89" s="2" t="s">
        <v>201</v>
      </c>
      <c r="D89" s="14" t="n">
        <v>0.25</v>
      </c>
      <c r="E89" s="15" t="str">
        <f aca="false">IFERROR(INDEX(Insumos!$F$5:$F$56,MATCH(C89,Insumos!$A$5:$A$56,0)),"?")</f>
        <v>lb</v>
      </c>
      <c r="F89" s="23" t="n">
        <f aca="false">IFERROR(INDEX(Insumos!$I$5:$I$56,MATCH(C89,Insumos!$A$5:$A$56,0)),0)</f>
        <v>5.88235294117647</v>
      </c>
      <c r="G89" s="9" t="n">
        <f aca="false">D89*F89</f>
        <v>1.47058823529412</v>
      </c>
    </row>
    <row r="90" customFormat="false" ht="15" hidden="false" customHeight="false" outlineLevel="0" collapsed="false">
      <c r="A90" s="2" t="s">
        <v>51</v>
      </c>
      <c r="B90" s="3" t="s">
        <v>52</v>
      </c>
      <c r="C90" s="2" t="s">
        <v>235</v>
      </c>
      <c r="D90" s="14" t="n">
        <v>1</v>
      </c>
      <c r="E90" s="15" t="str">
        <f aca="false">IFERROR(INDEX(Insumos!$F$5:$F$56,MATCH(C90,Insumos!$A$5:$A$56,0)),"?")</f>
        <v>unidad</v>
      </c>
      <c r="F90" s="23" t="n">
        <f aca="false">IFERROR(INDEX(Insumos!$I$5:$I$56,MATCH(C90,Insumos!$A$5:$A$56,0)),0)</f>
        <v>0.35</v>
      </c>
      <c r="G90" s="9" t="n">
        <f aca="false">D90*F90</f>
        <v>0.35</v>
      </c>
    </row>
    <row r="91" customFormat="false" ht="15" hidden="false" customHeight="false" outlineLevel="0" collapsed="false">
      <c r="A91" s="2" t="s">
        <v>51</v>
      </c>
      <c r="B91" s="3" t="s">
        <v>52</v>
      </c>
      <c r="C91" s="2" t="s">
        <v>255</v>
      </c>
      <c r="D91" s="14" t="n">
        <v>1</v>
      </c>
      <c r="E91" s="15" t="str">
        <f aca="false">IFERROR(INDEX(Insumos!$F$5:$F$56,MATCH(C91,Insumos!$A$5:$A$56,0)),"?")</f>
        <v>unidad</v>
      </c>
      <c r="F91" s="23" t="n">
        <f aca="false">IFERROR(INDEX(Insumos!$I$5:$I$56,MATCH(C91,Insumos!$A$5:$A$56,0)),0)</f>
        <v>0.2</v>
      </c>
      <c r="G91" s="9" t="n">
        <f aca="false">D91*F91</f>
        <v>0.2</v>
      </c>
    </row>
    <row r="92" customFormat="false" ht="15" hidden="false" customHeight="false" outlineLevel="0" collapsed="false">
      <c r="A92" s="2" t="s">
        <v>51</v>
      </c>
      <c r="B92" s="3" t="s">
        <v>52</v>
      </c>
      <c r="C92" s="2" t="s">
        <v>326</v>
      </c>
      <c r="D92" s="14" t="n">
        <v>1</v>
      </c>
      <c r="E92" s="15" t="str">
        <f aca="false">IFERROR(INDEX(Insumos!$F$5:$F$56,MATCH(C92,Insumos!$A$5:$A$56,0)),"?")</f>
        <v>unidad</v>
      </c>
      <c r="F92" s="23" t="n">
        <f aca="false">IFERROR(INDEX(Insumos!$I$5:$I$56,MATCH(C92,Insumos!$A$5:$A$56,0)),0)</f>
        <v>0.801840336134454</v>
      </c>
      <c r="G92" s="9" t="n">
        <f aca="false">D92*F92</f>
        <v>0.801840336134454</v>
      </c>
    </row>
    <row r="93" customFormat="false" ht="15" hidden="false" customHeight="false" outlineLevel="0" collapsed="false">
      <c r="A93" s="2" t="s">
        <v>54</v>
      </c>
      <c r="B93" s="3" t="s">
        <v>55</v>
      </c>
      <c r="C93" s="2" t="s">
        <v>205</v>
      </c>
      <c r="D93" s="14" t="n">
        <v>0.3</v>
      </c>
      <c r="E93" s="15" t="str">
        <f aca="false">IFERROR(INDEX(Insumos!$F$5:$F$56,MATCH(C93,Insumos!$A$5:$A$56,0)),"?")</f>
        <v>lb</v>
      </c>
      <c r="F93" s="23" t="n">
        <f aca="false">IFERROR(INDEX(Insumos!$I$5:$I$56,MATCH(C93,Insumos!$A$5:$A$56,0)),0)</f>
        <v>3.33333333333333</v>
      </c>
      <c r="G93" s="9" t="n">
        <f aca="false">D93*F93</f>
        <v>1</v>
      </c>
    </row>
    <row r="94" customFormat="false" ht="15" hidden="false" customHeight="false" outlineLevel="0" collapsed="false">
      <c r="A94" s="2" t="s">
        <v>54</v>
      </c>
      <c r="B94" s="3" t="s">
        <v>55</v>
      </c>
      <c r="C94" s="2" t="s">
        <v>250</v>
      </c>
      <c r="D94" s="14" t="n">
        <v>1.5</v>
      </c>
      <c r="E94" s="15" t="str">
        <f aca="false">IFERROR(INDEX(Insumos!$F$5:$F$56,MATCH(C94,Insumos!$A$5:$A$56,0)),"?")</f>
        <v>oz</v>
      </c>
      <c r="F94" s="23" t="n">
        <f aca="false">IFERROR(INDEX(Insumos!$I$5:$I$56,MATCH(C94,Insumos!$A$5:$A$56,0)),0)</f>
        <v>0.0625</v>
      </c>
      <c r="G94" s="9" t="n">
        <f aca="false">D94*F94</f>
        <v>0.09375</v>
      </c>
    </row>
    <row r="95" customFormat="false" ht="15" hidden="false" customHeight="false" outlineLevel="0" collapsed="false">
      <c r="A95" s="2" t="s">
        <v>54</v>
      </c>
      <c r="B95" s="3" t="s">
        <v>55</v>
      </c>
      <c r="C95" s="2" t="s">
        <v>298</v>
      </c>
      <c r="D95" s="14" t="n">
        <v>1</v>
      </c>
      <c r="E95" s="15" t="str">
        <f aca="false">IFERROR(INDEX(Insumos!$F$5:$F$56,MATCH(C95,Insumos!$A$5:$A$56,0)),"?")</f>
        <v>unidad</v>
      </c>
      <c r="F95" s="23" t="n">
        <f aca="false">IFERROR(INDEX(Insumos!$I$5:$I$56,MATCH(C95,Insumos!$A$5:$A$56,0)),0)</f>
        <v>0.25</v>
      </c>
      <c r="G95" s="9" t="n">
        <f aca="false">D95*F95</f>
        <v>0.25</v>
      </c>
    </row>
    <row r="96" customFormat="false" ht="15" hidden="false" customHeight="false" outlineLevel="0" collapsed="false">
      <c r="A96" s="2" t="s">
        <v>54</v>
      </c>
      <c r="B96" s="3" t="s">
        <v>55</v>
      </c>
      <c r="C96" s="2" t="s">
        <v>326</v>
      </c>
      <c r="D96" s="14" t="n">
        <v>1</v>
      </c>
      <c r="E96" s="15" t="str">
        <f aca="false">IFERROR(INDEX(Insumos!$F$5:$F$56,MATCH(C96,Insumos!$A$5:$A$56,0)),"?")</f>
        <v>unidad</v>
      </c>
      <c r="F96" s="23" t="n">
        <f aca="false">IFERROR(INDEX(Insumos!$I$5:$I$56,MATCH(C96,Insumos!$A$5:$A$56,0)),0)</f>
        <v>0.801840336134454</v>
      </c>
      <c r="G96" s="9" t="n">
        <f aca="false">D96*F96</f>
        <v>0.801840336134454</v>
      </c>
    </row>
    <row r="97" customFormat="false" ht="15" hidden="false" customHeight="false" outlineLevel="0" collapsed="false">
      <c r="A97" s="2" t="s">
        <v>56</v>
      </c>
      <c r="B97" s="3" t="s">
        <v>57</v>
      </c>
      <c r="C97" s="2" t="s">
        <v>252</v>
      </c>
      <c r="D97" s="14" t="n">
        <v>0.2</v>
      </c>
      <c r="E97" s="15" t="str">
        <f aca="false">IFERROR(INDEX(Insumos!$F$5:$F$56,MATCH(C97,Insumos!$A$5:$A$56,0)),"?")</f>
        <v>lb</v>
      </c>
      <c r="F97" s="23" t="n">
        <f aca="false">IFERROR(INDEX(Insumos!$I$5:$I$56,MATCH(C97,Insumos!$A$5:$A$56,0)),0)</f>
        <v>1.5</v>
      </c>
      <c r="G97" s="9" t="n">
        <f aca="false">D97*F97</f>
        <v>0.3</v>
      </c>
    </row>
    <row r="98" customFormat="false" ht="15" hidden="false" customHeight="false" outlineLevel="0" collapsed="false">
      <c r="A98" s="2" t="s">
        <v>56</v>
      </c>
      <c r="B98" s="3" t="s">
        <v>57</v>
      </c>
      <c r="C98" s="2" t="s">
        <v>324</v>
      </c>
      <c r="D98" s="14" t="n">
        <v>4</v>
      </c>
      <c r="E98" s="15" t="str">
        <f aca="false">IFERROR(INDEX(Insumos!$F$5:$F$56,MATCH(C98,Insumos!$A$5:$A$56,0)),"?")</f>
        <v>oz</v>
      </c>
      <c r="F98" s="23" t="n">
        <f aca="false">IFERROR(INDEX(Insumos!$I$5:$I$56,MATCH(C98,Insumos!$A$5:$A$56,0)),0)</f>
        <v>0.121666666666667</v>
      </c>
      <c r="G98" s="9" t="n">
        <f aca="false">D98*F98</f>
        <v>0.486666666666667</v>
      </c>
    </row>
    <row r="99" customFormat="false" ht="15" hidden="false" customHeight="false" outlineLevel="0" collapsed="false">
      <c r="A99" s="2" t="s">
        <v>56</v>
      </c>
      <c r="B99" s="3" t="s">
        <v>57</v>
      </c>
      <c r="C99" s="2" t="s">
        <v>264</v>
      </c>
      <c r="D99" s="14" t="n">
        <v>0.5</v>
      </c>
      <c r="E99" s="15" t="str">
        <f aca="false">IFERROR(INDEX(Insumos!$F$5:$F$56,MATCH(C99,Insumos!$A$5:$A$56,0)),"?")</f>
        <v>oz</v>
      </c>
      <c r="F99" s="23" t="n">
        <f aca="false">IFERROR(INDEX(Insumos!$I$5:$I$56,MATCH(C99,Insumos!$A$5:$A$56,0)),0)</f>
        <v>0.5</v>
      </c>
      <c r="G99" s="9" t="n">
        <f aca="false">D99*F99</f>
        <v>0.25</v>
      </c>
    </row>
    <row r="100" customFormat="false" ht="15" hidden="false" customHeight="false" outlineLevel="0" collapsed="false">
      <c r="A100" s="2" t="s">
        <v>58</v>
      </c>
      <c r="B100" s="3" t="s">
        <v>59</v>
      </c>
      <c r="C100" s="2" t="s">
        <v>283</v>
      </c>
      <c r="D100" s="14" t="n">
        <v>0.4</v>
      </c>
      <c r="E100" s="15" t="str">
        <f aca="false">IFERROR(INDEX(Insumos!$F$5:$F$56,MATCH(C100,Insumos!$A$5:$A$56,0)),"?")</f>
        <v>lb</v>
      </c>
      <c r="F100" s="23" t="n">
        <f aca="false">IFERROR(INDEX(Insumos!$I$5:$I$56,MATCH(C100,Insumos!$A$5:$A$56,0)),0)</f>
        <v>1.4</v>
      </c>
      <c r="G100" s="9" t="n">
        <f aca="false">D100*F100</f>
        <v>0.56</v>
      </c>
    </row>
    <row r="101" customFormat="false" ht="15" hidden="false" customHeight="false" outlineLevel="0" collapsed="false">
      <c r="A101" s="2" t="s">
        <v>58</v>
      </c>
      <c r="B101" s="3" t="s">
        <v>59</v>
      </c>
      <c r="C101" s="2" t="s">
        <v>298</v>
      </c>
      <c r="D101" s="14" t="n">
        <v>1</v>
      </c>
      <c r="E101" s="15" t="str">
        <f aca="false">IFERROR(INDEX(Insumos!$F$5:$F$56,MATCH(C101,Insumos!$A$5:$A$56,0)),"?")</f>
        <v>unidad</v>
      </c>
      <c r="F101" s="23" t="n">
        <f aca="false">IFERROR(INDEX(Insumos!$I$5:$I$56,MATCH(C101,Insumos!$A$5:$A$56,0)),0)</f>
        <v>0.25</v>
      </c>
      <c r="G101" s="9" t="n">
        <f aca="false">D101*F101</f>
        <v>0.25</v>
      </c>
    </row>
    <row r="102" customFormat="false" ht="15" hidden="false" customHeight="false" outlineLevel="0" collapsed="false">
      <c r="A102" s="2" t="s">
        <v>61</v>
      </c>
      <c r="B102" s="3" t="s">
        <v>62</v>
      </c>
      <c r="C102" s="2" t="s">
        <v>279</v>
      </c>
      <c r="D102" s="14" t="n">
        <v>1.5</v>
      </c>
      <c r="E102" s="15" t="str">
        <f aca="false">IFERROR(INDEX(Insumos!$F$5:$F$56,MATCH(C102,Insumos!$A$5:$A$56,0)),"?")</f>
        <v>unidad</v>
      </c>
      <c r="F102" s="23" t="n">
        <f aca="false">IFERROR(INDEX(Insumos!$I$5:$I$56,MATCH(C102,Insumos!$A$5:$A$56,0)),0)</f>
        <v>0.35</v>
      </c>
      <c r="G102" s="9" t="n">
        <f aca="false">D102*F102</f>
        <v>0.525</v>
      </c>
    </row>
    <row r="103" customFormat="false" ht="15" hidden="false" customHeight="false" outlineLevel="0" collapsed="false">
      <c r="A103" s="2" t="s">
        <v>61</v>
      </c>
      <c r="B103" s="3" t="s">
        <v>62</v>
      </c>
      <c r="C103" s="2" t="s">
        <v>298</v>
      </c>
      <c r="D103" s="14" t="n">
        <v>1</v>
      </c>
      <c r="E103" s="15" t="str">
        <f aca="false">IFERROR(INDEX(Insumos!$F$5:$F$56,MATCH(C103,Insumos!$A$5:$A$56,0)),"?")</f>
        <v>unidad</v>
      </c>
      <c r="F103" s="23" t="n">
        <f aca="false">IFERROR(INDEX(Insumos!$I$5:$I$56,MATCH(C103,Insumos!$A$5:$A$56,0)),0)</f>
        <v>0.25</v>
      </c>
      <c r="G103" s="9" t="n">
        <f aca="false">D103*F103</f>
        <v>0.25</v>
      </c>
    </row>
    <row r="104" customFormat="false" ht="15" hidden="false" customHeight="false" outlineLevel="0" collapsed="false">
      <c r="A104" s="2" t="s">
        <v>63</v>
      </c>
      <c r="B104" s="3" t="s">
        <v>64</v>
      </c>
      <c r="C104" s="2" t="s">
        <v>281</v>
      </c>
      <c r="D104" s="14" t="n">
        <v>0.4</v>
      </c>
      <c r="E104" s="15" t="str">
        <f aca="false">IFERROR(INDEX(Insumos!$F$5:$F$56,MATCH(C104,Insumos!$A$5:$A$56,0)),"?")</f>
        <v>lb</v>
      </c>
      <c r="F104" s="23" t="n">
        <f aca="false">IFERROR(INDEX(Insumos!$I$5:$I$56,MATCH(C104,Insumos!$A$5:$A$56,0)),0)</f>
        <v>1.14285714285714</v>
      </c>
      <c r="G104" s="9" t="n">
        <f aca="false">D104*F104</f>
        <v>0.457142857142857</v>
      </c>
    </row>
    <row r="105" customFormat="false" ht="15" hidden="false" customHeight="false" outlineLevel="0" collapsed="false">
      <c r="A105" s="2" t="s">
        <v>63</v>
      </c>
      <c r="B105" s="3" t="s">
        <v>64</v>
      </c>
      <c r="C105" s="2" t="s">
        <v>298</v>
      </c>
      <c r="D105" s="14" t="n">
        <v>1</v>
      </c>
      <c r="E105" s="15" t="str">
        <f aca="false">IFERROR(INDEX(Insumos!$F$5:$F$56,MATCH(C105,Insumos!$A$5:$A$56,0)),"?")</f>
        <v>unidad</v>
      </c>
      <c r="F105" s="23" t="n">
        <f aca="false">IFERROR(INDEX(Insumos!$I$5:$I$56,MATCH(C105,Insumos!$A$5:$A$56,0)),0)</f>
        <v>0.25</v>
      </c>
      <c r="G105" s="9" t="n">
        <f aca="false">D105*F105</f>
        <v>0.25</v>
      </c>
    </row>
    <row r="106" customFormat="false" ht="15" hidden="false" customHeight="false" outlineLevel="0" collapsed="false">
      <c r="A106" s="2" t="s">
        <v>65</v>
      </c>
      <c r="B106" s="3" t="s">
        <v>66</v>
      </c>
      <c r="C106" s="2" t="s">
        <v>286</v>
      </c>
      <c r="D106" s="14" t="n">
        <v>0.4</v>
      </c>
      <c r="E106" s="15" t="str">
        <f aca="false">IFERROR(INDEX(Insumos!$F$5:$F$56,MATCH(C106,Insumos!$A$5:$A$56,0)),"?")</f>
        <v>lb</v>
      </c>
      <c r="F106" s="23" t="n">
        <f aca="false">IFERROR(INDEX(Insumos!$I$5:$I$56,MATCH(C106,Insumos!$A$5:$A$56,0)),0)</f>
        <v>2.11764705882353</v>
      </c>
      <c r="G106" s="9" t="n">
        <f aca="false">D106*F106</f>
        <v>0.847058823529412</v>
      </c>
    </row>
    <row r="107" customFormat="false" ht="15" hidden="false" customHeight="false" outlineLevel="0" collapsed="false">
      <c r="A107" s="2" t="s">
        <v>65</v>
      </c>
      <c r="B107" s="3" t="s">
        <v>66</v>
      </c>
      <c r="C107" s="2" t="s">
        <v>267</v>
      </c>
      <c r="D107" s="14" t="n">
        <v>0.03</v>
      </c>
      <c r="E107" s="15" t="str">
        <f aca="false">IFERROR(INDEX(Insumos!$F$5:$F$56,MATCH(C107,Insumos!$A$5:$A$56,0)),"?")</f>
        <v>lb</v>
      </c>
      <c r="F107" s="23" t="n">
        <f aca="false">IFERROR(INDEX(Insumos!$I$5:$I$56,MATCH(C107,Insumos!$A$5:$A$56,0)),0)</f>
        <v>4</v>
      </c>
      <c r="G107" s="9" t="n">
        <f aca="false">D107*F107</f>
        <v>0.12</v>
      </c>
    </row>
    <row r="108" customFormat="false" ht="15" hidden="false" customHeight="false" outlineLevel="0" collapsed="false">
      <c r="A108" s="2" t="s">
        <v>67</v>
      </c>
      <c r="B108" s="3" t="s">
        <v>68</v>
      </c>
      <c r="C108" s="2" t="s">
        <v>240</v>
      </c>
      <c r="D108" s="14" t="n">
        <v>5</v>
      </c>
      <c r="E108" s="15" t="str">
        <f aca="false">IFERROR(INDEX(Insumos!$F$5:$F$56,MATCH(C108,Insumos!$A$5:$A$56,0)),"?")</f>
        <v>unidad</v>
      </c>
      <c r="F108" s="23" t="n">
        <f aca="false">IFERROR(INDEX(Insumos!$I$5:$I$56,MATCH(C108,Insumos!$A$5:$A$56,0)),0)</f>
        <v>0.1</v>
      </c>
      <c r="G108" s="9" t="n">
        <f aca="false">D108*F108</f>
        <v>0.5</v>
      </c>
    </row>
    <row r="109" customFormat="false" ht="15" hidden="false" customHeight="false" outlineLevel="0" collapsed="false">
      <c r="A109" s="2" t="s">
        <v>67</v>
      </c>
      <c r="B109" s="3" t="s">
        <v>68</v>
      </c>
      <c r="C109" s="2" t="s">
        <v>298</v>
      </c>
      <c r="D109" s="14" t="n">
        <v>1</v>
      </c>
      <c r="E109" s="15" t="str">
        <f aca="false">IFERROR(INDEX(Insumos!$F$5:$F$56,MATCH(C109,Insumos!$A$5:$A$56,0)),"?")</f>
        <v>unidad</v>
      </c>
      <c r="F109" s="23" t="n">
        <f aca="false">IFERROR(INDEX(Insumos!$I$5:$I$56,MATCH(C109,Insumos!$A$5:$A$56,0)),0)</f>
        <v>0.25</v>
      </c>
      <c r="G109" s="9" t="n">
        <f aca="false">D109*F109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2026-09-23T03:23:37Z</dcterms:created>
  <dc:creator>openpyxl</dc:creator>
  <dc:description/>
  <dc:language>en-US</dc:language>
  <cp:lastModifiedBy/>
  <dcterms:modified xsi:type="dcterms:W3CDTF">2026-09-23T03:23:37Z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