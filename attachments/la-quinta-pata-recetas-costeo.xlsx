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steo" sheetId="1" state="visible" r:id="rId3"/>
    <sheet name="Recetas" sheetId="2" state="visible" r:id="rId4"/>
    <sheet name="Ajustes" sheetId="3" state="visible" r:id="rId5"/>
    <sheet name="Insumos" sheetId="4" state="visible" r:id="rId6"/>
    <sheet name="Lotes" sheetId="5" state="visible" r:id="rId7"/>
    <sheet name="Especificacion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<sst xmlns="http://schemas.openxmlformats.org/spreadsheetml/2006/main" count="1347" uniqueCount="414">
  <si>
    <t xml:space="preserve">Costeo del menú — costo por trago y margen · La Quinta Pata</t>
  </si>
  <si>
    <t xml:space="preserve">Menu costing. Edite precios en la columna D (azul). El costo viene de Especificaciones → Insumos → Lotes. Estado marca ítems &gt;3 pts sobre el objetivo.</t>
  </si>
  <si>
    <t xml:space="preserve">Ítem</t>
  </si>
  <si>
    <t xml:space="preserve">Item (EN)</t>
  </si>
  <si>
    <t xml:space="preserve">Sección</t>
  </si>
  <si>
    <t xml:space="preserve">Precio menú ($)</t>
  </si>
  <si>
    <t xml:space="preserve">Precio neto sin ITBMS ($)</t>
  </si>
  <si>
    <t xml:space="preserve">Costo ($)</t>
  </si>
  <si>
    <t xml:space="preserve">Costo %</t>
  </si>
  <si>
    <t xml:space="preserve">Objetivo %</t>
  </si>
  <si>
    <t xml:space="preserve">Ganancia bruta ($)</t>
  </si>
  <si>
    <t xml:space="preserve">Precio para objetivo ($, redondeo 0.50)</t>
  </si>
  <si>
    <t xml:space="preserve">Estado</t>
  </si>
  <si>
    <t xml:space="preserve">Canal Mule</t>
  </si>
  <si>
    <t xml:space="preserve">De la casa</t>
  </si>
  <si>
    <t xml:space="preserve">Oaxaca Paloma</t>
  </si>
  <si>
    <t xml:space="preserve">Havana Maracuyá</t>
  </si>
  <si>
    <t xml:space="preserve">Lima Chilcano</t>
  </si>
  <si>
    <t xml:space="preserve">Lisboa Spritz</t>
  </si>
  <si>
    <t xml:space="preserve">Bangkok Smash</t>
  </si>
  <si>
    <t xml:space="preserve">Kyoto Highball</t>
  </si>
  <si>
    <t xml:space="preserve">Milano Sbagliato</t>
  </si>
  <si>
    <t xml:space="preserve">Margarita de limón</t>
  </si>
  <si>
    <t xml:space="preserve">Lime margarita</t>
  </si>
  <si>
    <t xml:space="preserve">Clásico</t>
  </si>
  <si>
    <t xml:space="preserve">Margarita de maracuyá</t>
  </si>
  <si>
    <t xml:space="preserve">Passion fruit margarita</t>
  </si>
  <si>
    <t xml:space="preserve">Margarita de flor de Jamaica</t>
  </si>
  <si>
    <t xml:space="preserve">Hibiscus margarita</t>
  </si>
  <si>
    <t xml:space="preserve">Mojito de limón</t>
  </si>
  <si>
    <t xml:space="preserve">Lime mojito</t>
  </si>
  <si>
    <t xml:space="preserve">Mojito de maracuyá</t>
  </si>
  <si>
    <t xml:space="preserve">Passion fruit mojito</t>
  </si>
  <si>
    <t xml:space="preserve">Whisky Sour</t>
  </si>
  <si>
    <t xml:space="preserve">Sour Apple Martini</t>
  </si>
  <si>
    <t xml:space="preserve">Cosmopolitan</t>
  </si>
  <si>
    <t xml:space="preserve">Caipirinha</t>
  </si>
  <si>
    <t xml:space="preserve">Caipiroska</t>
  </si>
  <si>
    <t xml:space="preserve">Daiquirí</t>
  </si>
  <si>
    <t xml:space="preserve">Daiquiri</t>
  </si>
  <si>
    <t xml:space="preserve">Aperol Spritz</t>
  </si>
  <si>
    <t xml:space="preserve">Cuba Libre</t>
  </si>
  <si>
    <t xml:space="preserve">Old Fashioned</t>
  </si>
  <si>
    <t xml:space="preserve">Gin Tonic</t>
  </si>
  <si>
    <t xml:space="preserve">Gin &amp; Tonic</t>
  </si>
  <si>
    <t xml:space="preserve">Michelada</t>
  </si>
  <si>
    <t xml:space="preserve">Cerveza nacional</t>
  </si>
  <si>
    <t xml:space="preserve">Local lager</t>
  </si>
  <si>
    <t xml:space="preserve">Cerveza</t>
  </si>
  <si>
    <t xml:space="preserve">Cerveza importada</t>
  </si>
  <si>
    <t xml:space="preserve">Imported lager</t>
  </si>
  <si>
    <t xml:space="preserve">Artesanal panameña, rotativa</t>
  </si>
  <si>
    <t xml:space="preserve">Panamanian craft, rotating</t>
  </si>
  <si>
    <t xml:space="preserve">Cubeta · 5 nacionales</t>
  </si>
  <si>
    <t xml:space="preserve">Bucket · 5 local lagers</t>
  </si>
  <si>
    <t xml:space="preserve">Michelada (extra +2)</t>
  </si>
  <si>
    <t xml:space="preserve">Michelada upgrade (+2)</t>
  </si>
  <si>
    <t xml:space="preserve">Malbec (copa)</t>
  </si>
  <si>
    <t xml:space="preserve">Malbec (glass)</t>
  </si>
  <si>
    <t xml:space="preserve">Vino</t>
  </si>
  <si>
    <t xml:space="preserve">Malbec (botella)</t>
  </si>
  <si>
    <t xml:space="preserve">Malbec (bottle)</t>
  </si>
  <si>
    <t xml:space="preserve">Tempranillo (copa)</t>
  </si>
  <si>
    <t xml:space="preserve">Tempranillo (glass)</t>
  </si>
  <si>
    <t xml:space="preserve">Tempranillo (botella)</t>
  </si>
  <si>
    <t xml:space="preserve">Tempranillo (bottle)</t>
  </si>
  <si>
    <t xml:space="preserve">Sauvignon Blanc (copa)</t>
  </si>
  <si>
    <t xml:space="preserve">Sauvignon Blanc (glass)</t>
  </si>
  <si>
    <t xml:space="preserve">Sauvignon Blanc (botella)</t>
  </si>
  <si>
    <t xml:space="preserve">Sauvignon Blanc (bottle)</t>
  </si>
  <si>
    <t xml:space="preserve">Rosado (copa)</t>
  </si>
  <si>
    <t xml:space="preserve">Rosé (glass)</t>
  </si>
  <si>
    <t xml:space="preserve">Rosado (botella)</t>
  </si>
  <si>
    <t xml:space="preserve">Rosé (bottle)</t>
  </si>
  <si>
    <t xml:space="preserve">Prosecco (copa)</t>
  </si>
  <si>
    <t xml:space="preserve">Prosecco (glass)</t>
  </si>
  <si>
    <t xml:space="preserve">Prosecco (botella)</t>
  </si>
  <si>
    <t xml:space="preserve">Prosecco (bottle)</t>
  </si>
  <si>
    <t xml:space="preserve">Sangría tinta (copa)</t>
  </si>
  <si>
    <t xml:space="preserve">Red sangría (glass)</t>
  </si>
  <si>
    <t xml:space="preserve">Ron añejo panameño</t>
  </si>
  <si>
    <t xml:space="preserve">Panamanian aged rum</t>
  </si>
  <si>
    <t xml:space="preserve">Destilados</t>
  </si>
  <si>
    <t xml:space="preserve">Seco Herrerano</t>
  </si>
  <si>
    <t xml:space="preserve">Vodka</t>
  </si>
  <si>
    <t xml:space="preserve">Ginebra</t>
  </si>
  <si>
    <t xml:space="preserve">Gin</t>
  </si>
  <si>
    <t xml:space="preserve">Tequila blanco</t>
  </si>
  <si>
    <t xml:space="preserve">Pisco</t>
  </si>
  <si>
    <t xml:space="preserve">Whisky</t>
  </si>
  <si>
    <t xml:space="preserve">Mezcal</t>
  </si>
  <si>
    <t xml:space="preserve">Saril Cooler</t>
  </si>
  <si>
    <t xml:space="preserve">Sin alcohol</t>
  </si>
  <si>
    <t xml:space="preserve">Tónica de Maracuyá</t>
  </si>
  <si>
    <t xml:space="preserve">Maracuyá Tonic</t>
  </si>
  <si>
    <t xml:space="preserve">Limonada de Hierba de Limón</t>
  </si>
  <si>
    <t xml:space="preserve">Lemongrass Lemonade</t>
  </si>
  <si>
    <t xml:space="preserve">Chicha de piña (vaso)</t>
  </si>
  <si>
    <t xml:space="preserve">Pineapple chicha (glass)</t>
  </si>
  <si>
    <t xml:space="preserve">Sodas y agua con gas</t>
  </si>
  <si>
    <t xml:space="preserve">Sodas &amp; sparkling water</t>
  </si>
  <si>
    <t xml:space="preserve">Espresso de Boquete</t>
  </si>
  <si>
    <t xml:space="preserve">Boquete espresso</t>
  </si>
  <si>
    <t xml:space="preserve">Café</t>
  </si>
  <si>
    <t xml:space="preserve">Carajillo</t>
  </si>
  <si>
    <t xml:space="preserve">Promedio por sección · Average by section</t>
  </si>
  <si>
    <t xml:space="preserve">Section (EN)</t>
  </si>
  <si>
    <t xml:space="preserve">Costo prom. ($)</t>
  </si>
  <si>
    <t xml:space="preserve">Costo % prom.</t>
  </si>
  <si>
    <t xml:space="preserve">Ganancia prom. ($)</t>
  </si>
  <si>
    <t xml:space="preserve">Signature</t>
  </si>
  <si>
    <t xml:space="preserve">Classic</t>
  </si>
  <si>
    <t xml:space="preserve">Beer</t>
  </si>
  <si>
    <t xml:space="preserve">Wine</t>
  </si>
  <si>
    <t xml:space="preserve">Spirits</t>
  </si>
  <si>
    <t xml:space="preserve">Zero-proof</t>
  </si>
  <si>
    <t xml:space="preserve">Coffee</t>
  </si>
  <si>
    <t xml:space="preserve">Estados: OK · Reajustar precio / receta = over target (reprice / re-spec) · Margen alto = well under target, room to upgrade</t>
  </si>
  <si>
    <t xml:space="preserve">Fichas de receta para bartenders — cócteles, sin alcohol y café</t>
  </si>
  <si>
    <t xml:space="preserve">Bartender spec cards. La receta refleja la hoja Especificaciones; si cambia cantidades allá, actualice el texto aquí.</t>
  </si>
  <si>
    <t xml:space="preserve">Bebida</t>
  </si>
  <si>
    <t xml:space="preserve">Drink (EN)</t>
  </si>
  <si>
    <t xml:space="preserve">Vaso / copa</t>
  </si>
  <si>
    <t xml:space="preserve">Hielo</t>
  </si>
  <si>
    <t xml:space="preserve">Receta</t>
  </si>
  <si>
    <t xml:space="preserve">Método</t>
  </si>
  <si>
    <t xml:space="preserve">Method (EN)</t>
  </si>
  <si>
    <t xml:space="preserve">Guarnición</t>
  </si>
  <si>
    <t xml:space="preserve">Highball / taza de cobre</t>
  </si>
  <si>
    <t xml:space="preserve">Cubos</t>
  </si>
  <si>
    <t xml:space="preserve">2 oz Seco Herrerano
0.5 oz Jugo de limón fresco
4 oz Ginger beer
2 golpes de Amargo de Angostura</t>
  </si>
  <si>
    <t xml:space="preserve">Construir sobre hielo, completar con ginger beer, amargo encima</t>
  </si>
  <si>
    <t xml:space="preserve">Build over ice, top ginger beer, float bitters</t>
  </si>
  <si>
    <t xml:space="preserve">Gajo de limón</t>
  </si>
  <si>
    <t xml:space="preserve">Highball, medio borde de sal</t>
  </si>
  <si>
    <t xml:space="preserve">1.5 oz Tequila blanco
2 oz Jugo de toronja fresco
0.5 oz Jugo de limón fresco
0.25 oz Jarabe simple 1:1
2 oz Soda
1 × Borde de sal</t>
  </si>
  <si>
    <t xml:space="preserve">Construir tequila, jugos y jarabe, mezclar, completar con soda</t>
  </si>
  <si>
    <t xml:space="preserve">Build tequila + juices + syrup, stir, top soda</t>
  </si>
  <si>
    <t xml:space="preserve">Gajo de toronja</t>
  </si>
  <si>
    <t xml:space="preserve">Highball</t>
  </si>
  <si>
    <t xml:space="preserve">Frappé</t>
  </si>
  <si>
    <t xml:space="preserve">2 oz Ron blanco
1 oz Pulpa de maracuyá
0.75 oz Jugo de limón fresco
0.5 oz Jarabe simple 1:1
1 × Ramita de hierbabuena
2 oz Soda</t>
  </si>
  <si>
    <t xml:space="preserve">Macerar suave la hierbabuena con jarabe, añadir ron, pulpa y limón, batir con cuchara, completar con soda</t>
  </si>
  <si>
    <t xml:space="preserve">Lightly muddle mint + syrup, add rum/pulp/lime, churn, top soda</t>
  </si>
  <si>
    <t xml:space="preserve">Ramita de hierbabuena</t>
  </si>
  <si>
    <t xml:space="preserve">2 oz Pisco
0.5 oz Jugo de limón fresco
4 oz Ginger ale
2 golpes de Amargo de Angostura</t>
  </si>
  <si>
    <t xml:space="preserve">Construir pisco y limón, completar con ginger ale, amargo encima</t>
  </si>
  <si>
    <t xml:space="preserve">Build pisco + lime, top ginger ale, bitters on top</t>
  </si>
  <si>
    <t xml:space="preserve">Rueda de limón</t>
  </si>
  <si>
    <t xml:space="preserve">Copa de vino</t>
  </si>
  <si>
    <t xml:space="preserve">2.5 oz Oporto blanco
3 oz Agua tónica
1 × Rueda de naranja
1 × Ramita de hierbabuena</t>
  </si>
  <si>
    <t xml:space="preserve">Oporto sobre hielo, completar con tónica, mezclar suave</t>
  </si>
  <si>
    <t xml:space="preserve">Build port over ice, top tonic, gentle stir</t>
  </si>
  <si>
    <t xml:space="preserve">Rueda de naranja + hierbabuena</t>
  </si>
  <si>
    <t xml:space="preserve">Rocks</t>
  </si>
  <si>
    <t xml:space="preserve">2 oz Vodka
0.75 oz Jarabe de hierba de limón y jengibre
0.75 oz Jugo de limón fresco
1 × Ramita de albahaca tailandesa</t>
  </si>
  <si>
    <t xml:space="preserve">Agitar fuerte con la albahaca, doble colado sobre hielo frappé</t>
  </si>
  <si>
    <t xml:space="preserve">Shake hard with basil, double strain over crushed ice</t>
  </si>
  <si>
    <t xml:space="preserve">Ramita de albahaca</t>
  </si>
  <si>
    <t xml:space="preserve">Highball alto (frío)</t>
  </si>
  <si>
    <t xml:space="preserve">Lanza / cubos</t>
  </si>
  <si>
    <t xml:space="preserve">2 oz Whisky
0.5 oz Jarabe de jengibre y miel
0.5 oz Jugo de limón amarillo
4 oz Soda</t>
  </si>
  <si>
    <t xml:space="preserve">Mezclar whisky, jarabe y limón amarillo en hielo 10 seg, completar con soda muy fría, una sola vuelta</t>
  </si>
  <si>
    <t xml:space="preserve">Stir whisky + syrup + lemon 10 sec, top very cold soda, one lift</t>
  </si>
  <si>
    <t xml:space="preserve">Twist de limón amarillo</t>
  </si>
  <si>
    <t xml:space="preserve">Rocks / copa de vino</t>
  </si>
  <si>
    <t xml:space="preserve">Cubo grande</t>
  </si>
  <si>
    <t xml:space="preserve">1 oz Campari
1 oz Vermut rojo
2 oz Prosecco
1 × Rueda de naranja</t>
  </si>
  <si>
    <t xml:space="preserve">Construir Campari y vermut, mezclar, completar con prosecco</t>
  </si>
  <si>
    <t xml:space="preserve">Build Campari + vermouth, stir, top prosecco</t>
  </si>
  <si>
    <t xml:space="preserve">Rueda de naranja</t>
  </si>
  <si>
    <t xml:space="preserve">Rocks, borde de sal</t>
  </si>
  <si>
    <t xml:space="preserve">1.5 oz Tequila blanco
0.75 oz Triple sec
1 oz Jugo de limón fresco
0.25 oz Jarabe simple 1:1
1 × Borde de sal</t>
  </si>
  <si>
    <t xml:space="preserve">Agitar, colar sobre hielo nuevo</t>
  </si>
  <si>
    <t xml:space="preserve">Shake, strain over fresh ice</t>
  </si>
  <si>
    <t xml:space="preserve">1.5 oz Tequila blanco
0.5 oz Triple sec
1 oz Pulpa de maracuyá
0.75 oz Jugo de limón fresco
0.25 oz Jarabe simple 1:1
1 × Borde de sal</t>
  </si>
  <si>
    <t xml:space="preserve">Agitar fuerte, colar sobre hielo nuevo</t>
  </si>
  <si>
    <t xml:space="preserve">Shake hard, strain over fresh ice</t>
  </si>
  <si>
    <t xml:space="preserve">Media maracuyá o rueda de limón</t>
  </si>
  <si>
    <t xml:space="preserve">1.5 oz Tequila blanco
0.5 oz Triple sec
1 oz Jarabe de saril
1 oz Jugo de limón fresco
1 × Borde de sal</t>
  </si>
  <si>
    <t xml:space="preserve">Agitar, colar sobre hielo nuevo. Usa el mismo jarabe de saril (flor de Jamaica) del Saril Cooler</t>
  </si>
  <si>
    <t xml:space="preserve">Shake, strain over fresh ice. Uses the same saril (hibiscus) syrup as the Saril Cooler</t>
  </si>
  <si>
    <t xml:space="preserve">Flor de Jamaica deshidratada</t>
  </si>
  <si>
    <t xml:space="preserve">2 oz Ron blanco
0.75 oz Jugo de limón fresco
0.75 oz Jarabe simple 1:1
1 × Ramita de hierbabuena
2 oz Soda</t>
  </si>
  <si>
    <t xml:space="preserve">Macerar suave hierbabuena y jarabe, añadir ron y limón, batir, completar con soda</t>
  </si>
  <si>
    <t xml:space="preserve">Muddle mint + syrup, add rum/lime, churn, top soda</t>
  </si>
  <si>
    <t xml:space="preserve">2 oz Ron blanco
1 oz Pulpa de maracuyá
0.5 oz Jugo de limón fresco
0.5 oz Jarabe simple 1:1
1 × Ramita de hierbabuena
2 oz Soda</t>
  </si>
  <si>
    <t xml:space="preserve">Macerar suave hierbabuena y jarabe, añadir ron, pulpa y limón, batir, completar con soda</t>
  </si>
  <si>
    <t xml:space="preserve">Muddle mint + syrup, add rum/pulp/lime, churn, top soda</t>
  </si>
  <si>
    <t xml:space="preserve">2 oz Whisky
0.75 oz Jugo de limón amarillo
0.75 oz Jarabe simple 1:1
1 × Clara de huevo
2 golpes de Amargo de Angostura</t>
  </si>
  <si>
    <t xml:space="preserve">Agitar en seco con la clara, luego con hielo; colar sobre cubo grande, gotas de amargo encima</t>
  </si>
  <si>
    <t xml:space="preserve">Dry shake with egg white, then with ice; strain over large cube, bitters on top</t>
  </si>
  <si>
    <t xml:space="preserve">Gotas de Angostura + rueda de naranja</t>
  </si>
  <si>
    <t xml:space="preserve">Copa martini (fría)</t>
  </si>
  <si>
    <t xml:space="preserve">Sin hielo</t>
  </si>
  <si>
    <t xml:space="preserve">1.5 oz Vodka
1 oz Licor de manzana verde
0.5 oz Jugo de limón fresco
0.25 oz Jarabe simple 1:1
1 × Lámina de manzana verde</t>
  </si>
  <si>
    <t xml:space="preserve">Agitar fuerte, doble colado en copa fría</t>
  </si>
  <si>
    <t xml:space="preserve">Shake hard, double strain into chilled glass</t>
  </si>
  <si>
    <t xml:space="preserve">Lámina de manzana verde</t>
  </si>
  <si>
    <t xml:space="preserve">1.5 oz Vodka
0.5 oz Triple sec
1 oz Jugo de arándano
0.5 oz Jugo de limón fresco
1 × Rueda de naranja</t>
  </si>
  <si>
    <t xml:space="preserve">Agitar, doble colado en copa fría</t>
  </si>
  <si>
    <t xml:space="preserve">Shake, double strain into chilled glass</t>
  </si>
  <si>
    <t xml:space="preserve">Piel de naranja</t>
  </si>
  <si>
    <t xml:space="preserve">2 oz Cachaça
1 × Limón entero (en gajos)
0.5 oz Jarabe simple 1:1</t>
  </si>
  <si>
    <t xml:space="preserve">Macerar el limón en gajos con el jarabe, añadir cachaça y hielo frappé, batir</t>
  </si>
  <si>
    <t xml:space="preserve">Muddle lime wedges with syrup, add cachaça and crushed ice, churn</t>
  </si>
  <si>
    <t xml:space="preserve">—</t>
  </si>
  <si>
    <t xml:space="preserve">2 oz Vodka
1 × Limón entero (en gajos)
0.5 oz Jarabe simple 1:1</t>
  </si>
  <si>
    <t xml:space="preserve">Macerar el limón en gajos con el jarabe, añadir vodka y hielo frappé, batir</t>
  </si>
  <si>
    <t xml:space="preserve">Muddle lime wedges with syrup, add vodka and crushed ice, churn</t>
  </si>
  <si>
    <t xml:space="preserve">Coupé</t>
  </si>
  <si>
    <t xml:space="preserve">2 oz Ron blanco
1 oz Jugo de limón fresco
0.75 oz Jarabe simple 1:1</t>
  </si>
  <si>
    <t xml:space="preserve">Agitar fuerte, doble colado</t>
  </si>
  <si>
    <t xml:space="preserve">Shake hard, double strain</t>
  </si>
  <si>
    <t xml:space="preserve">2 oz Aperol
3 oz Prosecco
1 oz Soda
1 × Rueda de naranja</t>
  </si>
  <si>
    <t xml:space="preserve">Prosecco primero, luego Aperol, un toque de soda</t>
  </si>
  <si>
    <t xml:space="preserve">Prosecco first, then Aperol, splash soda</t>
  </si>
  <si>
    <t xml:space="preserve">2 oz Ron blanco
4 oz Cola
0.25 oz Jugo de limón fresco</t>
  </si>
  <si>
    <t xml:space="preserve">Construir, exprimir limón</t>
  </si>
  <si>
    <t xml:space="preserve">Build, squeeze lime</t>
  </si>
  <si>
    <t xml:space="preserve">2 oz Bourbon
0.25 oz Jarabe simple 1:1
3 golpes de Amargo de Angostura
1 × Rueda de naranja</t>
  </si>
  <si>
    <t xml:space="preserve">Mezclar 20–30 seg sobre cubo grande</t>
  </si>
  <si>
    <t xml:space="preserve">Stir 20–30 sec over large cube</t>
  </si>
  <si>
    <t xml:space="preserve">Copa balón / highball</t>
  </si>
  <si>
    <t xml:space="preserve">2 oz Ginebra
4 oz Agua tónica
0.25 oz Jugo de limón fresco</t>
  </si>
  <si>
    <t xml:space="preserve">Construir, tónica por la cuchara</t>
  </si>
  <si>
    <t xml:space="preserve">Build, pour tonic down a bar spoon</t>
  </si>
  <si>
    <t xml:space="preserve">Pinta, borde de sal</t>
  </si>
  <si>
    <t xml:space="preserve">1 × Cerveza nacional
1 × Sazonador de michelada
0.75 oz Jugo de limón fresco
1 × Borde de sal</t>
  </si>
  <si>
    <t xml:space="preserve">Sazonador y limón en el vaso, completar con cerveza fría</t>
  </si>
  <si>
    <t xml:space="preserve">Seasoning + lime in glass, top cold lager</t>
  </si>
  <si>
    <t xml:space="preserve">4 oz Tempranillo
0.5 oz Jarabe simple 1:1
1 × Fruta para sangría
1 oz Soda</t>
  </si>
  <si>
    <t xml:space="preserve">Lote: vino, fruta y jarabe; completar con soda al servir</t>
  </si>
  <si>
    <t xml:space="preserve">Batch wine + fruit + syrup, top soda to order</t>
  </si>
  <si>
    <t xml:space="preserve">Fruta</t>
  </si>
  <si>
    <t xml:space="preserve">1.5 oz Jarabe de saril
0.5 oz Jugo de limón fresco
4 oz Soda</t>
  </si>
  <si>
    <t xml:space="preserve">Construir jarabe y limón, completar con soda</t>
  </si>
  <si>
    <t xml:space="preserve">Build syrup + lime, top soda</t>
  </si>
  <si>
    <t xml:space="preserve">Copa balón</t>
  </si>
  <si>
    <t xml:space="preserve">1.5 oz Pulpa de maracuyá
4 oz Agua tónica
1 × Ramita de romero</t>
  </si>
  <si>
    <t xml:space="preserve">Pulpa en la copa, completar con tónica, aplaudir el romero</t>
  </si>
  <si>
    <t xml:space="preserve">Pulp in glass, top tonic, slap rosemary</t>
  </si>
  <si>
    <t xml:space="preserve">Ramita de romero</t>
  </si>
  <si>
    <t xml:space="preserve">1 oz Jarabe de hierba de limón y jengibre
1 oz Jugo de limón fresco
4 oz Soda</t>
  </si>
  <si>
    <t xml:space="preserve">Agitar jarabe y limón, completar con agua o soda</t>
  </si>
  <si>
    <t xml:space="preserve">Shake syrup + lime, top water or soda</t>
  </si>
  <si>
    <t xml:space="preserve">10 oz Chicha de piña</t>
  </si>
  <si>
    <t xml:space="preserve">Servir 10 oz del lote</t>
  </si>
  <si>
    <t xml:space="preserve">Pour 10 oz from batch</t>
  </si>
  <si>
    <t xml:space="preserve">Gajo de piña</t>
  </si>
  <si>
    <t xml:space="preserve">12 oz Cola</t>
  </si>
  <si>
    <t xml:space="preserve">Servir lata + vaso</t>
  </si>
  <si>
    <t xml:space="preserve">Serve can + glass</t>
  </si>
  <si>
    <t xml:space="preserve">Demitasse</t>
  </si>
  <si>
    <t xml:space="preserve">1 × Shot de espresso (café de Boquete)</t>
  </si>
  <si>
    <t xml:space="preserve">Shot doble</t>
  </si>
  <si>
    <t xml:space="preserve">Double shot</t>
  </si>
  <si>
    <t xml:space="preserve">1 × Shot de espresso (café de Boquete)
1.5 oz Licor 43</t>
  </si>
  <si>
    <t xml:space="preserve">Agitar fuerte espresso y Licor 43, colar sobre hielo</t>
  </si>
  <si>
    <t xml:space="preserve">Shake espresso + Licor 43 hard, strain over ice</t>
  </si>
  <si>
    <t xml:space="preserve">Programa de bebidas — Ajustes y leyenda</t>
  </si>
  <si>
    <t xml:space="preserve">Drink program — Settings &amp; legend</t>
  </si>
  <si>
    <t xml:space="preserve">Leyenda · Legend</t>
  </si>
  <si>
    <t xml:space="preserve">Texto azul = dato que usted edita · Blue = input you edit</t>
  </si>
  <si>
    <t xml:space="preserve">Texto negro = fórmula, no sobrescribir · Black = formula, don't overwrite</t>
  </si>
  <si>
    <t xml:space="preserve">Texto verde = viene de otra hoja · Green = pulled from another sheet</t>
  </si>
  <si>
    <t xml:space="preserve">Fondo amarillo = supuesto a verificar (cotización / contador) · Yellow = assumption to verify</t>
  </si>
  <si>
    <t xml:space="preserve">Impuesto · Tax</t>
  </si>
  <si>
    <t xml:space="preserve">¿Precios del menú incluyen ITBMS? (1 = sí, 0 = no) · Menu prices include ITBMS?</t>
  </si>
  <si>
    <t xml:space="preserve">Tasa ITBMS bebidas alcohólicas · ITBMS rate, alcoholic drinks</t>
  </si>
  <si>
    <t xml:space="preserve">Supuesto — confirme la tasa vigente con su contador; bebidas sin alcohol pueden diferir. · Assumption — confirm with your accountant.</t>
  </si>
  <si>
    <t xml:space="preserve">Costo objetivo por sección · Target cost by section</t>
  </si>
  <si>
    <t xml:space="preserve">Sección · Section</t>
  </si>
  <si>
    <t xml:space="preserve">Objetivo % · Target %</t>
  </si>
  <si>
    <t xml:space="preserve">Nota · Note</t>
  </si>
  <si>
    <t xml:space="preserve">Signature · Nivel casual: 18–22%</t>
  </si>
  <si>
    <t xml:space="preserve">Beer · Botella corre más alto · Bottled runs higher</t>
  </si>
  <si>
    <t xml:space="preserve">Wine · Por copa; botellas ~35–40% · By the glass</t>
  </si>
  <si>
    <t xml:space="preserve">Spirits · Tragos solos · Neat pours</t>
  </si>
  <si>
    <t xml:space="preserve">Lista de precios de insumos — reemplace las celdas amarillas con cotizaciones de su proveedor</t>
  </si>
  <si>
    <t xml:space="preserve">Ingredient price list. Ejemplo: Seco Herrerano, botella 1 L = 33.8 oz a $8.00 → $0.237/oz. Precios estimados para Ciudad de Panamá, no cotizaciones.</t>
  </si>
  <si>
    <t xml:space="preserve">Insumo</t>
  </si>
  <si>
    <t xml:space="preserve">Ingredient (EN)</t>
  </si>
  <si>
    <t xml:space="preserve">Categoría</t>
  </si>
  <si>
    <t xml:space="preserve">Presentación de compra</t>
  </si>
  <si>
    <t xml:space="preserve">Unidades por compra</t>
  </si>
  <si>
    <t xml:space="preserve">Unidad</t>
  </si>
  <si>
    <t xml:space="preserve">Costo de compra</t>
  </si>
  <si>
    <t xml:space="preserve">Costo por unidad</t>
  </si>
  <si>
    <t xml:space="preserve">Destilado</t>
  </si>
  <si>
    <t xml:space="preserve">Botella 1 L</t>
  </si>
  <si>
    <t xml:space="preserve">oz</t>
  </si>
  <si>
    <t xml:space="preserve">Ron blanco</t>
  </si>
  <si>
    <t xml:space="preserve">White rum</t>
  </si>
  <si>
    <t xml:space="preserve">Botella 750 ml</t>
  </si>
  <si>
    <t xml:space="preserve">Cachaça</t>
  </si>
  <si>
    <t xml:space="preserve">Bourbon</t>
  </si>
  <si>
    <t xml:space="preserve">Triple sec</t>
  </si>
  <si>
    <t xml:space="preserve">Licor</t>
  </si>
  <si>
    <t xml:space="preserve">Campari</t>
  </si>
  <si>
    <t xml:space="preserve">Aperol</t>
  </si>
  <si>
    <t xml:space="preserve">Licor 43</t>
  </si>
  <si>
    <t xml:space="preserve">Licor de manzana verde</t>
  </si>
  <si>
    <t xml:space="preserve">Sour apple liqueur</t>
  </si>
  <si>
    <t xml:space="preserve">Vermut rojo</t>
  </si>
  <si>
    <t xml:space="preserve">Sweet vermouth</t>
  </si>
  <si>
    <t xml:space="preserve">Fortificado</t>
  </si>
  <si>
    <t xml:space="preserve">Oporto blanco</t>
  </si>
  <si>
    <t xml:space="preserve">White port</t>
  </si>
  <si>
    <t xml:space="preserve">Prosecco</t>
  </si>
  <si>
    <t xml:space="preserve">Malbec</t>
  </si>
  <si>
    <t xml:space="preserve">Tempranillo</t>
  </si>
  <si>
    <t xml:space="preserve">Sauvignon Blanc</t>
  </si>
  <si>
    <t xml:space="preserve">Rosado</t>
  </si>
  <si>
    <t xml:space="preserve">Rosé</t>
  </si>
  <si>
    <t xml:space="preserve">Caja de 24</t>
  </si>
  <si>
    <t xml:space="preserve">unidad</t>
  </si>
  <si>
    <t xml:space="preserve">Cerveza artesanal panameña</t>
  </si>
  <si>
    <t xml:space="preserve">Panamanian craft beer</t>
  </si>
  <si>
    <t xml:space="preserve">Caja de 12</t>
  </si>
  <si>
    <t xml:space="preserve">Ginger beer</t>
  </si>
  <si>
    <t xml:space="preserve">Mezclador</t>
  </si>
  <si>
    <t xml:space="preserve">Caja 24 × 10 oz</t>
  </si>
  <si>
    <t xml:space="preserve">Ginger ale</t>
  </si>
  <si>
    <t xml:space="preserve">Caja 24 × 12 oz</t>
  </si>
  <si>
    <t xml:space="preserve">Agua tónica</t>
  </si>
  <si>
    <t xml:space="preserve">Tonic water</t>
  </si>
  <si>
    <t xml:space="preserve">Soda</t>
  </si>
  <si>
    <t xml:space="preserve">Soda water</t>
  </si>
  <si>
    <t xml:space="preserve">Caja 12 × 1 L</t>
  </si>
  <si>
    <t xml:space="preserve">Cola</t>
  </si>
  <si>
    <t xml:space="preserve">Amargo de Angostura</t>
  </si>
  <si>
    <t xml:space="preserve">Angostura bitters</t>
  </si>
  <si>
    <t xml:space="preserve">Botella 4 oz (~148 golpes)</t>
  </si>
  <si>
    <t xml:space="preserve">golpe</t>
  </si>
  <si>
    <t xml:space="preserve">Sazonador de michelada</t>
  </si>
  <si>
    <t xml:space="preserve">Michelada seasoning</t>
  </si>
  <si>
    <t xml:space="preserve">Botella (~40 porciones)</t>
  </si>
  <si>
    <t xml:space="preserve">Jugo de limón fresco</t>
  </si>
  <si>
    <t xml:space="preserve">Lime juice, fresh</t>
  </si>
  <si>
    <t xml:space="preserve">Fresco</t>
  </si>
  <si>
    <t xml:space="preserve">Exprimido en casa (por oz)</t>
  </si>
  <si>
    <t xml:space="preserve">Jugo de limón amarillo</t>
  </si>
  <si>
    <t xml:space="preserve">Lemon juice, fresh</t>
  </si>
  <si>
    <t xml:space="preserve">Jugo de toronja fresco</t>
  </si>
  <si>
    <t xml:space="preserve">Grapefruit juice, fresh</t>
  </si>
  <si>
    <t xml:space="preserve">Jugo de arándano</t>
  </si>
  <si>
    <t xml:space="preserve">Cranberry juice</t>
  </si>
  <si>
    <t xml:space="preserve">Limón entero (en gajos)</t>
  </si>
  <si>
    <t xml:space="preserve">Whole lime (wedges)</t>
  </si>
  <si>
    <t xml:space="preserve">Por unidad</t>
  </si>
  <si>
    <t xml:space="preserve">Clara de huevo</t>
  </si>
  <si>
    <t xml:space="preserve">Egg white</t>
  </si>
  <si>
    <t xml:space="preserve">Cartón de 30 huevos</t>
  </si>
  <si>
    <t xml:space="preserve">Green apple slice</t>
  </si>
  <si>
    <t xml:space="preserve">Manzana (~8 láminas)</t>
  </si>
  <si>
    <t xml:space="preserve">Pulpa de maracuyá</t>
  </si>
  <si>
    <t xml:space="preserve">Passion fruit pulp</t>
  </si>
  <si>
    <t xml:space="preserve">1 kg congelada (~34 oz)</t>
  </si>
  <si>
    <t xml:space="preserve">Mint sprig</t>
  </si>
  <si>
    <t xml:space="preserve">Manojo (~20 ramitas)</t>
  </si>
  <si>
    <t xml:space="preserve">Ramita de albahaca tailandesa</t>
  </si>
  <si>
    <t xml:space="preserve">Thai basil sprig</t>
  </si>
  <si>
    <t xml:space="preserve">Rosemary sprig</t>
  </si>
  <si>
    <t xml:space="preserve">Orange wheel</t>
  </si>
  <si>
    <t xml:space="preserve">Naranja (~6 ruedas)</t>
  </si>
  <si>
    <t xml:space="preserve">Fruta para sangría</t>
  </si>
  <si>
    <t xml:space="preserve">Sangría fruit mix</t>
  </si>
  <si>
    <t xml:space="preserve">Por porción</t>
  </si>
  <si>
    <t xml:space="preserve">Borde de sal</t>
  </si>
  <si>
    <t xml:space="preserve">Salt rim</t>
  </si>
  <si>
    <t xml:space="preserve">Shot de espresso (café de Boquete)</t>
  </si>
  <si>
    <t xml:space="preserve">Espresso shot (Boquete beans)</t>
  </si>
  <si>
    <t xml:space="preserve">1 lb de grano (~25 shots)</t>
  </si>
  <si>
    <t xml:space="preserve">Jarabe simple 1:1</t>
  </si>
  <si>
    <t xml:space="preserve">Simple syrup 1:1</t>
  </si>
  <si>
    <t xml:space="preserve">Lote de la casa</t>
  </si>
  <si>
    <t xml:space="preserve">Ver hoja Lotes</t>
  </si>
  <si>
    <t xml:space="preserve">Jarabe de jengibre y miel</t>
  </si>
  <si>
    <t xml:space="preserve">Ginger-honey syrup</t>
  </si>
  <si>
    <t xml:space="preserve">Jarabe de hierba de limón y jengibre</t>
  </si>
  <si>
    <t xml:space="preserve">Lemongrass-ginger syrup</t>
  </si>
  <si>
    <t xml:space="preserve">Jarabe de saril</t>
  </si>
  <si>
    <t xml:space="preserve">Saril syrup</t>
  </si>
  <si>
    <t xml:space="preserve">Chicha de piña</t>
  </si>
  <si>
    <t xml:space="preserve">Pineapple chicha</t>
  </si>
  <si>
    <t xml:space="preserve">Recetas de lote de la casa — costo por oz alimenta Insumos</t>
  </si>
  <si>
    <t xml:space="preserve">House batch recipes — cost per oz feeds Insumos</t>
  </si>
  <si>
    <t xml:space="preserve">Lote · Batch</t>
  </si>
  <si>
    <t xml:space="preserve">Ingrediente</t>
  </si>
  <si>
    <t xml:space="preserve">Cant. · Qty</t>
  </si>
  <si>
    <t xml:space="preserve">Costo / unidad</t>
  </si>
  <si>
    <t xml:space="preserve">Costo línea</t>
  </si>
  <si>
    <t xml:space="preserve">Método y vida útil · Method &amp; shelf life</t>
  </si>
  <si>
    <t xml:space="preserve">Azúcar blanca</t>
  </si>
  <si>
    <t xml:space="preserve">Disolver azúcar en agua caliente. Enfriar. 2 semanas refrigerado. · Dissolve, cool. 2 weeks refrigerated.</t>
  </si>
  <si>
    <t xml:space="preserve">Agua</t>
  </si>
  <si>
    <t xml:space="preserve">Costo del lote · Batch cost</t>
  </si>
  <si>
    <t xml:space="preserve">Rendimiento (oz) · Yield</t>
  </si>
  <si>
    <t xml:space="preserve">Estimado — mida su primer lote y actualice. · Estimate — measure first batch.</t>
  </si>
  <si>
    <t xml:space="preserve">Costo por oz · Cost per oz</t>
  </si>
  <si>
    <t xml:space="preserve">Miel</t>
  </si>
  <si>
    <t xml:space="preserve">Hervir jengibre en agua 10 min, colar, batir la miel fuera del fuego. 2 semanas. · Simmer ginger 10 min, strain, whisk in honey off heat. 2 weeks.</t>
  </si>
  <si>
    <t xml:space="preserve">Jengibre fresco, en rodajas</t>
  </si>
  <si>
    <t xml:space="preserve">Machacar la hierba de limón, hervir todo 15 min, reposar 30 min, colar. 10 días. · Bruise, simmer 15 min, steep 30, strain. 10 days.</t>
  </si>
  <si>
    <t xml:space="preserve">Tallo de hierba de limón</t>
  </si>
  <si>
    <t xml:space="preserve">Saril seco</t>
  </si>
  <si>
    <t xml:space="preserve">Hervir 20 min, reposar toda la noche, colar. 10 días. · Simmer 20 min, steep overnight, strain. 10 days.</t>
  </si>
  <si>
    <t xml:space="preserve">Clavo y canela</t>
  </si>
  <si>
    <t xml:space="preserve">Piña (cáscara y corazón)</t>
  </si>
  <si>
    <t xml:space="preserve">Reposar cáscara con especias 24–48 h a temperatura ambiente, colar, endulzar, enfriar. 4 días. · Steep 24–48h, strain, sweeten, chill. 4 days.</t>
  </si>
  <si>
    <t xml:space="preserve">Azúcar morena</t>
  </si>
  <si>
    <t xml:space="preserve">Líneas de receta — una fila por ingrediente (alimenta todos los costos)</t>
  </si>
  <si>
    <t xml:space="preserve">Recipe lines — one row per ingredient (drives all costs)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</si>
</sst>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;&quot;($&quot;#,##0.00\);\-"/>
    <numFmt numFmtId="166" formatCode="0.0%;\(0.0%\);\-"/>
    <numFmt numFmtId="167" formatCode="\$#,##0.000;&quot;($&quot;#,##0.00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E1B18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4CCCC"/>
        </patternFill>
      </fill>
    </dxf>
    <dxf>
      <fill>
        <patternFill>
          <bgColor rgb="FFD9EAD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1E1B18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8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7" min="6" style="0" width="10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18"/>
    <col collapsed="false" customWidth="true" hidden="false" outlineLevel="0" max="11" min="11" style="0" width="26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31.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</row>
    <row r="5" customFormat="false" ht="15" hidden="false" customHeight="false" outlineLevel="0" collapsed="false">
      <c r="A5" s="2" t="s">
        <v>13</v>
      </c>
      <c r="B5" s="3" t="s">
        <v>13</v>
      </c>
      <c r="C5" s="2" t="s">
        <v>14</v>
      </c>
      <c r="D5" s="5" t="n">
        <v>7</v>
      </c>
      <c r="E5" s="6" t="n">
        <f aca="false">IF(Ajustes!$B$11=1,D5/(1+Ajustes!$B$12),D5)</f>
        <v>6.36363636363636</v>
      </c>
      <c r="F5" s="6" t="n">
        <f aca="false">SUMIF(Especificaciones!$A$5:$A$153,A5,Especificaciones!$G$5:$G$153)</f>
        <v>1.17517458286689</v>
      </c>
      <c r="G5" s="7" t="n">
        <f aca="false">IFERROR(F5/E5,0)</f>
        <v>0.184670291593369</v>
      </c>
      <c r="H5" s="8" t="n">
        <f aca="false">IFERROR(INDEX(Ajustes!$B$16:$B$22,MATCH(C5,Ajustes!$A$16:$A$22,0)),0.2)</f>
        <v>0.2</v>
      </c>
      <c r="I5" s="9" t="n">
        <f aca="false">E5-F5</f>
        <v>5.18846178076947</v>
      </c>
      <c r="J5" s="9" t="n">
        <f aca="false">IFERROR(CEILING(F5/H5*IF(Ajustes!$B$11=1,1+Ajustes!$B$12,1),0.5),0)</f>
        <v>6.5</v>
      </c>
      <c r="K5" s="2" t="str">
        <f aca="false">IF(G5&gt;H5+0.03,"Reajustar precio / receta",IF(G5&lt;H5-0.08,"Margen alto","OK"))</f>
        <v>OK</v>
      </c>
    </row>
    <row r="6" customFormat="false" ht="15" hidden="false" customHeight="false" outlineLevel="0" collapsed="false">
      <c r="A6" s="2" t="s">
        <v>15</v>
      </c>
      <c r="B6" s="3" t="s">
        <v>15</v>
      </c>
      <c r="C6" s="2" t="s">
        <v>14</v>
      </c>
      <c r="D6" s="5" t="n">
        <v>8</v>
      </c>
      <c r="E6" s="6" t="n">
        <f aca="false">IF(Ajustes!$B$11=1,D6/(1+Ajustes!$B$12),D6)</f>
        <v>7.27272727272727</v>
      </c>
      <c r="F6" s="6" t="n">
        <f aca="false">SUMIF(Especificaciones!$A$5:$A$153,A6,Especificaciones!$G$5:$G$153)</f>
        <v>1.72867496437882</v>
      </c>
      <c r="G6" s="7" t="n">
        <f aca="false">IFERROR(F6/E6,0)</f>
        <v>0.237692807602088</v>
      </c>
      <c r="H6" s="8" t="n">
        <f aca="false">IFERROR(INDEX(Ajustes!$B$16:$B$22,MATCH(C6,Ajustes!$A$16:$A$22,0)),0.2)</f>
        <v>0.2</v>
      </c>
      <c r="I6" s="9" t="n">
        <f aca="false">E6-F6</f>
        <v>5.54405230834845</v>
      </c>
      <c r="J6" s="9" t="n">
        <f aca="false">IFERROR(CEILING(F6/H6*IF(Ajustes!$B$11=1,1+Ajustes!$B$12,1),0.5),0)</f>
        <v>10</v>
      </c>
      <c r="K6" s="2" t="str">
        <f aca="false">IF(G6&gt;H6+0.03,"Reajustar precio / receta",IF(G6&lt;H6-0.08,"Margen alto","OK"))</f>
        <v>Reajustar precio / receta</v>
      </c>
    </row>
    <row r="7" customFormat="false" ht="15" hidden="false" customHeight="false" outlineLevel="0" collapsed="false">
      <c r="A7" s="2" t="s">
        <v>16</v>
      </c>
      <c r="B7" s="3" t="s">
        <v>16</v>
      </c>
      <c r="C7" s="2" t="s">
        <v>14</v>
      </c>
      <c r="D7" s="5" t="n">
        <v>8</v>
      </c>
      <c r="E7" s="6" t="n">
        <f aca="false">IF(Ajustes!$B$11=1,D7/(1+Ajustes!$B$12),D7)</f>
        <v>7.27272727272727</v>
      </c>
      <c r="F7" s="6" t="n">
        <f aca="false">SUMIF(Especificaciones!$A$5:$A$153,A7,Especificaciones!$G$5:$G$153)</f>
        <v>1.05088446455505</v>
      </c>
      <c r="G7" s="7" t="n">
        <f aca="false">IFERROR(F7/E7,0)</f>
        <v>0.14449661387632</v>
      </c>
      <c r="H7" s="8" t="n">
        <f aca="false">IFERROR(INDEX(Ajustes!$B$16:$B$22,MATCH(C7,Ajustes!$A$16:$A$22,0)),0.2)</f>
        <v>0.2</v>
      </c>
      <c r="I7" s="9" t="n">
        <f aca="false">E7-F7</f>
        <v>6.22184280817222</v>
      </c>
      <c r="J7" s="9" t="n">
        <f aca="false">IFERROR(CEILING(F7/H7*IF(Ajustes!$B$11=1,1+Ajustes!$B$12,1),0.5),0)</f>
        <v>6</v>
      </c>
      <c r="K7" s="2" t="str">
        <f aca="false">IF(G7&gt;H7+0.03,"Reajustar precio / receta",IF(G7&lt;H7-0.08,"Margen alto","OK"))</f>
        <v>OK</v>
      </c>
    </row>
    <row r="8" customFormat="false" ht="15" hidden="false" customHeight="false" outlineLevel="0" collapsed="false">
      <c r="A8" s="2" t="s">
        <v>17</v>
      </c>
      <c r="B8" s="3" t="s">
        <v>17</v>
      </c>
      <c r="C8" s="2" t="s">
        <v>14</v>
      </c>
      <c r="D8" s="5" t="n">
        <v>8</v>
      </c>
      <c r="E8" s="6" t="n">
        <f aca="false">IF(Ajustes!$B$11=1,D8/(1+Ajustes!$B$12),D8)</f>
        <v>7.27272727272727</v>
      </c>
      <c r="F8" s="6" t="n">
        <f aca="false">SUMIF(Especificaciones!$A$5:$A$153,A8,Especificaciones!$G$5:$G$153)</f>
        <v>1.84913793920103</v>
      </c>
      <c r="G8" s="7" t="n">
        <f aca="false">IFERROR(F8/E8,0)</f>
        <v>0.254256466640142</v>
      </c>
      <c r="H8" s="8" t="n">
        <f aca="false">IFERROR(INDEX(Ajustes!$B$16:$B$22,MATCH(C8,Ajustes!$A$16:$A$22,0)),0.2)</f>
        <v>0.2</v>
      </c>
      <c r="I8" s="9" t="n">
        <f aca="false">E8-F8</f>
        <v>5.42358933352624</v>
      </c>
      <c r="J8" s="9" t="n">
        <f aca="false">IFERROR(CEILING(F8/H8*IF(Ajustes!$B$11=1,1+Ajustes!$B$12,1),0.5),0)</f>
        <v>10.5</v>
      </c>
      <c r="K8" s="2" t="str">
        <f aca="false">IF(G8&gt;H8+0.03,"Reajustar precio / receta",IF(G8&lt;H8-0.08,"Margen alto","OK"))</f>
        <v>Reajustar precio / receta</v>
      </c>
    </row>
    <row r="9" customFormat="false" ht="15" hidden="false" customHeight="false" outlineLevel="0" collapsed="false">
      <c r="A9" s="2" t="s">
        <v>18</v>
      </c>
      <c r="B9" s="3" t="s">
        <v>18</v>
      </c>
      <c r="C9" s="2" t="s">
        <v>14</v>
      </c>
      <c r="D9" s="5" t="n">
        <v>8</v>
      </c>
      <c r="E9" s="6" t="n">
        <f aca="false">IF(Ajustes!$B$11=1,D9/(1+Ajustes!$B$12),D9)</f>
        <v>7.27272727272727</v>
      </c>
      <c r="F9" s="6" t="n">
        <f aca="false">SUMIF(Especificaciones!$A$5:$A$153,A9,Especificaciones!$G$5:$G$153)</f>
        <v>1.8551261829653</v>
      </c>
      <c r="G9" s="7" t="n">
        <f aca="false">IFERROR(F9/E9,0)</f>
        <v>0.255079850157729</v>
      </c>
      <c r="H9" s="8" t="n">
        <f aca="false">IFERROR(INDEX(Ajustes!$B$16:$B$22,MATCH(C9,Ajustes!$A$16:$A$22,0)),0.2)</f>
        <v>0.2</v>
      </c>
      <c r="I9" s="9" t="n">
        <f aca="false">E9-F9</f>
        <v>5.41760108976197</v>
      </c>
      <c r="J9" s="9" t="n">
        <f aca="false">IFERROR(CEILING(F9/H9*IF(Ajustes!$B$11=1,1+Ajustes!$B$12,1),0.5),0)</f>
        <v>10.5</v>
      </c>
      <c r="K9" s="2" t="str">
        <f aca="false">IF(G9&gt;H9+0.03,"Reajustar precio / receta",IF(G9&lt;H9-0.08,"Margen alto","OK"))</f>
        <v>Reajustar precio / receta</v>
      </c>
    </row>
    <row r="10" customFormat="false" ht="15" hidden="false" customHeight="false" outlineLevel="0" collapsed="false">
      <c r="A10" s="2" t="s">
        <v>19</v>
      </c>
      <c r="B10" s="3" t="s">
        <v>19</v>
      </c>
      <c r="C10" s="2" t="s">
        <v>14</v>
      </c>
      <c r="D10" s="5" t="n">
        <v>8</v>
      </c>
      <c r="E10" s="6" t="n">
        <f aca="false">IF(Ajustes!$B$11=1,D10/(1+Ajustes!$B$12),D10)</f>
        <v>7.27272727272727</v>
      </c>
      <c r="F10" s="6" t="n">
        <f aca="false">SUMIF(Especificaciones!$A$5:$A$153,A10,Especificaciones!$G$5:$G$153)</f>
        <v>1.01180917159763</v>
      </c>
      <c r="G10" s="7" t="n">
        <f aca="false">IFERROR(F10/E10,0)</f>
        <v>0.139123761094675</v>
      </c>
      <c r="H10" s="8" t="n">
        <f aca="false">IFERROR(INDEX(Ajustes!$B$16:$B$22,MATCH(C10,Ajustes!$A$16:$A$22,0)),0.2)</f>
        <v>0.2</v>
      </c>
      <c r="I10" s="9" t="n">
        <f aca="false">E10-F10</f>
        <v>6.26091810112964</v>
      </c>
      <c r="J10" s="9" t="n">
        <f aca="false">IFERROR(CEILING(F10/H10*IF(Ajustes!$B$11=1,1+Ajustes!$B$12,1),0.5),0)</f>
        <v>6</v>
      </c>
      <c r="K10" s="2" t="str">
        <f aca="false">IF(G10&gt;H10+0.03,"Reajustar precio / receta",IF(G10&lt;H10-0.08,"Margen alto","OK"))</f>
        <v>OK</v>
      </c>
    </row>
    <row r="11" customFormat="false" ht="15" hidden="false" customHeight="false" outlineLevel="0" collapsed="false">
      <c r="A11" s="2" t="s">
        <v>20</v>
      </c>
      <c r="B11" s="3" t="s">
        <v>20</v>
      </c>
      <c r="C11" s="2" t="s">
        <v>14</v>
      </c>
      <c r="D11" s="5" t="n">
        <v>9</v>
      </c>
      <c r="E11" s="6" t="n">
        <f aca="false">IF(Ajustes!$B$11=1,D11/(1+Ajustes!$B$12),D11)</f>
        <v>8.18181818181818</v>
      </c>
      <c r="F11" s="6" t="n">
        <f aca="false">SUMIF(Especificaciones!$A$5:$A$153,A11,Especificaciones!$G$5:$G$153)</f>
        <v>1.79532054615287</v>
      </c>
      <c r="G11" s="7" t="n">
        <f aca="false">IFERROR(F11/E11,0)</f>
        <v>0.219428066752017</v>
      </c>
      <c r="H11" s="8" t="n">
        <f aca="false">IFERROR(INDEX(Ajustes!$B$16:$B$22,MATCH(C11,Ajustes!$A$16:$A$22,0)),0.2)</f>
        <v>0.2</v>
      </c>
      <c r="I11" s="9" t="n">
        <f aca="false">E11-F11</f>
        <v>6.38649763566531</v>
      </c>
      <c r="J11" s="9" t="n">
        <f aca="false">IFERROR(CEILING(F11/H11*IF(Ajustes!$B$11=1,1+Ajustes!$B$12,1),0.5),0)</f>
        <v>10</v>
      </c>
      <c r="K11" s="2" t="str">
        <f aca="false">IF(G11&gt;H11+0.03,"Reajustar precio / receta",IF(G11&lt;H11-0.08,"Margen alto","OK"))</f>
        <v>OK</v>
      </c>
    </row>
    <row r="12" customFormat="false" ht="15" hidden="false" customHeight="false" outlineLevel="0" collapsed="false">
      <c r="A12" s="2" t="s">
        <v>21</v>
      </c>
      <c r="B12" s="3" t="s">
        <v>21</v>
      </c>
      <c r="C12" s="2" t="s">
        <v>14</v>
      </c>
      <c r="D12" s="5" t="n">
        <v>9</v>
      </c>
      <c r="E12" s="6" t="n">
        <f aca="false">IF(Ajustes!$B$11=1,D12/(1+Ajustes!$B$12),D12)</f>
        <v>8.18181818181818</v>
      </c>
      <c r="F12" s="6" t="n">
        <f aca="false">SUMIF(Especificaciones!$A$5:$A$153,A12,Especificaciones!$G$5:$G$153)</f>
        <v>2.11118100535718</v>
      </c>
      <c r="G12" s="7" t="n">
        <f aca="false">IFERROR(F12/E12,0)</f>
        <v>0.258033233988099</v>
      </c>
      <c r="H12" s="8" t="n">
        <f aca="false">IFERROR(INDEX(Ajustes!$B$16:$B$22,MATCH(C12,Ajustes!$A$16:$A$22,0)),0.2)</f>
        <v>0.2</v>
      </c>
      <c r="I12" s="9" t="n">
        <f aca="false">E12-F12</f>
        <v>6.07063717646101</v>
      </c>
      <c r="J12" s="9" t="n">
        <f aca="false">IFERROR(CEILING(F12/H12*IF(Ajustes!$B$11=1,1+Ajustes!$B$12,1),0.5),0)</f>
        <v>12</v>
      </c>
      <c r="K12" s="2" t="str">
        <f aca="false">IF(G12&gt;H12+0.03,"Reajustar precio / receta",IF(G12&lt;H12-0.08,"Margen alto","OK"))</f>
        <v>Reajustar precio / receta</v>
      </c>
    </row>
    <row r="13" customFormat="false" ht="15" hidden="false" customHeight="false" outlineLevel="0" collapsed="false">
      <c r="A13" s="2" t="s">
        <v>22</v>
      </c>
      <c r="B13" s="3" t="s">
        <v>23</v>
      </c>
      <c r="C13" s="2" t="s">
        <v>24</v>
      </c>
      <c r="D13" s="5" t="n">
        <v>7</v>
      </c>
      <c r="E13" s="6" t="n">
        <f aca="false">IF(Ajustes!$B$11=1,D13/(1+Ajustes!$B$12),D13)</f>
        <v>6.36363636363636</v>
      </c>
      <c r="F13" s="6" t="n">
        <f aca="false">SUMIF(Especificaciones!$A$5:$A$153,A13,Especificaciones!$G$5:$G$153)</f>
        <v>1.6412587908088</v>
      </c>
      <c r="G13" s="7" t="n">
        <f aca="false">IFERROR(F13/E13,0)</f>
        <v>0.257912095698526</v>
      </c>
      <c r="H13" s="8" t="n">
        <f aca="false">IFERROR(INDEX(Ajustes!$B$16:$B$22,MATCH(C13,Ajustes!$A$16:$A$22,0)),0.2)</f>
        <v>0.2</v>
      </c>
      <c r="I13" s="9" t="n">
        <f aca="false">E13-F13</f>
        <v>4.72237757282756</v>
      </c>
      <c r="J13" s="9" t="n">
        <f aca="false">IFERROR(CEILING(F13/H13*IF(Ajustes!$B$11=1,1+Ajustes!$B$12,1),0.5),0)</f>
        <v>9.5</v>
      </c>
      <c r="K13" s="2" t="str">
        <f aca="false">IF(G13&gt;H13+0.03,"Reajustar precio / receta",IF(G13&lt;H13-0.08,"Margen alto","OK"))</f>
        <v>Reajustar precio / receta</v>
      </c>
    </row>
    <row r="14" customFormat="false" ht="15" hidden="false" customHeight="false" outlineLevel="0" collapsed="false">
      <c r="A14" s="2" t="s">
        <v>25</v>
      </c>
      <c r="B14" s="3" t="s">
        <v>26</v>
      </c>
      <c r="C14" s="2" t="s">
        <v>24</v>
      </c>
      <c r="D14" s="5" t="n">
        <v>7</v>
      </c>
      <c r="E14" s="6" t="n">
        <f aca="false">IF(Ajustes!$B$11=1,D14/(1+Ajustes!$B$12),D14)</f>
        <v>6.36363636363636</v>
      </c>
      <c r="F14" s="6" t="n">
        <f aca="false">SUMIF(Especificaciones!$A$5:$A$153,A14,Especificaciones!$G$5:$G$153)</f>
        <v>1.66435311729679</v>
      </c>
      <c r="G14" s="7" t="n">
        <f aca="false">IFERROR(F14/E14,0)</f>
        <v>0.261541204146639</v>
      </c>
      <c r="H14" s="8" t="n">
        <f aca="false">IFERROR(INDEX(Ajustes!$B$16:$B$22,MATCH(C14,Ajustes!$A$16:$A$22,0)),0.2)</f>
        <v>0.2</v>
      </c>
      <c r="I14" s="9" t="n">
        <f aca="false">E14-F14</f>
        <v>4.69928324633957</v>
      </c>
      <c r="J14" s="9" t="n">
        <f aca="false">IFERROR(CEILING(F14/H14*IF(Ajustes!$B$11=1,1+Ajustes!$B$12,1),0.5),0)</f>
        <v>9.5</v>
      </c>
      <c r="K14" s="2" t="str">
        <f aca="false">IF(G14&gt;H14+0.03,"Reajustar precio / receta",IF(G14&lt;H14-0.08,"Margen alto","OK"))</f>
        <v>Reajustar precio / receta</v>
      </c>
    </row>
    <row r="15" customFormat="false" ht="15" hidden="false" customHeight="false" outlineLevel="0" collapsed="false">
      <c r="A15" s="2" t="s">
        <v>27</v>
      </c>
      <c r="B15" s="3" t="s">
        <v>28</v>
      </c>
      <c r="C15" s="2" t="s">
        <v>24</v>
      </c>
      <c r="D15" s="5" t="n">
        <v>9</v>
      </c>
      <c r="E15" s="6" t="n">
        <f aca="false">IF(Ajustes!$B$11=1,D15/(1+Ajustes!$B$12),D15)</f>
        <v>8.18181818181818</v>
      </c>
      <c r="F15" s="6" t="n">
        <f aca="false">SUMIF(Especificaciones!$A$5:$A$153,A15,Especificaciones!$G$5:$G$153)</f>
        <v>1.63370679376738</v>
      </c>
      <c r="G15" s="7" t="n">
        <f aca="false">IFERROR(F15/E15,0)</f>
        <v>0.199675274793791</v>
      </c>
      <c r="H15" s="8" t="n">
        <f aca="false">IFERROR(INDEX(Ajustes!$B$16:$B$22,MATCH(C15,Ajustes!$A$16:$A$22,0)),0.2)</f>
        <v>0.2</v>
      </c>
      <c r="I15" s="9" t="n">
        <f aca="false">E15-F15</f>
        <v>6.5481113880508</v>
      </c>
      <c r="J15" s="9" t="n">
        <f aca="false">IFERROR(CEILING(F15/H15*IF(Ajustes!$B$11=1,1+Ajustes!$B$12,1),0.5),0)</f>
        <v>9</v>
      </c>
      <c r="K15" s="2" t="str">
        <f aca="false">IF(G15&gt;H15+0.03,"Reajustar precio / receta",IF(G15&lt;H15-0.08,"Margen alto","OK"))</f>
        <v>OK</v>
      </c>
    </row>
    <row r="16" customFormat="false" ht="15" hidden="false" customHeight="false" outlineLevel="0" collapsed="false">
      <c r="A16" s="2" t="s">
        <v>29</v>
      </c>
      <c r="B16" s="3" t="s">
        <v>30</v>
      </c>
      <c r="C16" s="2" t="s">
        <v>24</v>
      </c>
      <c r="D16" s="5" t="n">
        <v>7</v>
      </c>
      <c r="E16" s="6" t="n">
        <f aca="false">IF(Ajustes!$B$11=1,D16/(1+Ajustes!$B$12),D16)</f>
        <v>6.36363636363636</v>
      </c>
      <c r="F16" s="6" t="n">
        <f aca="false">SUMIF(Especificaciones!$A$5:$A$153,A16,Especificaciones!$G$5:$G$153)</f>
        <v>0.910225641025641</v>
      </c>
      <c r="G16" s="7" t="n">
        <f aca="false">IFERROR(F16/E16,0)</f>
        <v>0.143035457875458</v>
      </c>
      <c r="H16" s="8" t="n">
        <f aca="false">IFERROR(INDEX(Ajustes!$B$16:$B$22,MATCH(C16,Ajustes!$A$16:$A$22,0)),0.2)</f>
        <v>0.2</v>
      </c>
      <c r="I16" s="9" t="n">
        <f aca="false">E16-F16</f>
        <v>5.45341072261072</v>
      </c>
      <c r="J16" s="9" t="n">
        <f aca="false">IFERROR(CEILING(F16/H16*IF(Ajustes!$B$11=1,1+Ajustes!$B$12,1),0.5),0)</f>
        <v>5.5</v>
      </c>
      <c r="K16" s="2" t="str">
        <f aca="false">IF(G16&gt;H16+0.03,"Reajustar precio / receta",IF(G16&lt;H16-0.08,"Margen alto","OK"))</f>
        <v>OK</v>
      </c>
    </row>
    <row r="17" customFormat="false" ht="15" hidden="false" customHeight="false" outlineLevel="0" collapsed="false">
      <c r="A17" s="2" t="s">
        <v>31</v>
      </c>
      <c r="B17" s="3" t="s">
        <v>32</v>
      </c>
      <c r="C17" s="2" t="s">
        <v>24</v>
      </c>
      <c r="D17" s="5" t="n">
        <v>7</v>
      </c>
      <c r="E17" s="6" t="n">
        <f aca="false">IF(Ajustes!$B$11=1,D17/(1+Ajustes!$B$12),D17)</f>
        <v>6.36363636363636</v>
      </c>
      <c r="F17" s="6" t="n">
        <f aca="false">SUMIF(Especificaciones!$A$5:$A$153,A17,Especificaciones!$G$5:$G$153)</f>
        <v>1.00088446455505</v>
      </c>
      <c r="G17" s="7" t="n">
        <f aca="false">IFERROR(F17/E17,0)</f>
        <v>0.15728184443008</v>
      </c>
      <c r="H17" s="8" t="n">
        <f aca="false">IFERROR(INDEX(Ajustes!$B$16:$B$22,MATCH(C17,Ajustes!$A$16:$A$22,0)),0.2)</f>
        <v>0.2</v>
      </c>
      <c r="I17" s="9" t="n">
        <f aca="false">E17-F17</f>
        <v>5.36275189908131</v>
      </c>
      <c r="J17" s="9" t="n">
        <f aca="false">IFERROR(CEILING(F17/H17*IF(Ajustes!$B$11=1,1+Ajustes!$B$12,1),0.5),0)</f>
        <v>6</v>
      </c>
      <c r="K17" s="2" t="str">
        <f aca="false">IF(G17&gt;H17+0.03,"Reajustar precio / receta",IF(G17&lt;H17-0.08,"Margen alto","OK"))</f>
        <v>OK</v>
      </c>
    </row>
    <row r="18" customFormat="false" ht="15" hidden="false" customHeight="false" outlineLevel="0" collapsed="false">
      <c r="A18" s="2" t="s">
        <v>33</v>
      </c>
      <c r="B18" s="3" t="s">
        <v>33</v>
      </c>
      <c r="C18" s="2" t="s">
        <v>24</v>
      </c>
      <c r="D18" s="5" t="n">
        <v>9</v>
      </c>
      <c r="E18" s="6" t="n">
        <f aca="false">IF(Ajustes!$B$11=1,D18/(1+Ajustes!$B$12),D18)</f>
        <v>8.18181818181818</v>
      </c>
      <c r="F18" s="6" t="n">
        <f aca="false">SUMIF(Especificaciones!$A$5:$A$153,A18,Especificaciones!$G$5:$G$153)</f>
        <v>1.96556016142325</v>
      </c>
      <c r="G18" s="7" t="n">
        <f aca="false">IFERROR(F18/E18,0)</f>
        <v>0.24023513084062</v>
      </c>
      <c r="H18" s="8" t="n">
        <f aca="false">IFERROR(INDEX(Ajustes!$B$16:$B$22,MATCH(C18,Ajustes!$A$16:$A$22,0)),0.2)</f>
        <v>0.2</v>
      </c>
      <c r="I18" s="9" t="n">
        <f aca="false">E18-F18</f>
        <v>6.21625802039493</v>
      </c>
      <c r="J18" s="9" t="n">
        <f aca="false">IFERROR(CEILING(F18/H18*IF(Ajustes!$B$11=1,1+Ajustes!$B$12,1),0.5),0)</f>
        <v>11</v>
      </c>
      <c r="K18" s="2" t="str">
        <f aca="false">IF(G18&gt;H18+0.03,"Reajustar precio / receta",IF(G18&lt;H18-0.08,"Margen alto","OK"))</f>
        <v>Reajustar precio / receta</v>
      </c>
    </row>
    <row r="19" customFormat="false" ht="15" hidden="false" customHeight="false" outlineLevel="0" collapsed="false">
      <c r="A19" s="2" t="s">
        <v>34</v>
      </c>
      <c r="B19" s="3" t="s">
        <v>34</v>
      </c>
      <c r="C19" s="2" t="s">
        <v>24</v>
      </c>
      <c r="D19" s="5" t="n">
        <v>8</v>
      </c>
      <c r="E19" s="6" t="n">
        <f aca="false">IF(Ajustes!$B$11=1,D19/(1+Ajustes!$B$12),D19)</f>
        <v>7.27272727272727</v>
      </c>
      <c r="F19" s="6" t="n">
        <f aca="false">SUMIF(Especificaciones!$A$5:$A$153,A19,Especificaciones!$G$5:$G$153)</f>
        <v>1.29099485188434</v>
      </c>
      <c r="G19" s="7" t="n">
        <f aca="false">IFERROR(F19/E19,0)</f>
        <v>0.177511792134097</v>
      </c>
      <c r="H19" s="8" t="n">
        <f aca="false">IFERROR(INDEX(Ajustes!$B$16:$B$22,MATCH(C19,Ajustes!$A$16:$A$22,0)),0.2)</f>
        <v>0.2</v>
      </c>
      <c r="I19" s="9" t="n">
        <f aca="false">E19-F19</f>
        <v>5.98173242084293</v>
      </c>
      <c r="J19" s="9" t="n">
        <f aca="false">IFERROR(CEILING(F19/H19*IF(Ajustes!$B$11=1,1+Ajustes!$B$12,1),0.5),0)</f>
        <v>7.5</v>
      </c>
      <c r="K19" s="2" t="str">
        <f aca="false">IF(G19&gt;H19+0.03,"Reajustar precio / receta",IF(G19&lt;H19-0.08,"Margen alto","OK"))</f>
        <v>OK</v>
      </c>
    </row>
    <row r="20" customFormat="false" ht="15" hidden="false" customHeight="false" outlineLevel="0" collapsed="false">
      <c r="A20" s="2" t="s">
        <v>35</v>
      </c>
      <c r="B20" s="3" t="s">
        <v>35</v>
      </c>
      <c r="C20" s="2" t="s">
        <v>24</v>
      </c>
      <c r="D20" s="5" t="n">
        <v>8</v>
      </c>
      <c r="E20" s="6" t="n">
        <f aca="false">IF(Ajustes!$B$11=1,D20/(1+Ajustes!$B$12),D20)</f>
        <v>7.27272727272727</v>
      </c>
      <c r="F20" s="6" t="n">
        <f aca="false">SUMIF(Especificaciones!$A$5:$A$153,A20,Especificaciones!$G$5:$G$153)</f>
        <v>0.998816568047337</v>
      </c>
      <c r="G20" s="7" t="n">
        <f aca="false">IFERROR(F20/E20,0)</f>
        <v>0.137337278106509</v>
      </c>
      <c r="H20" s="8" t="n">
        <f aca="false">IFERROR(INDEX(Ajustes!$B$16:$B$22,MATCH(C20,Ajustes!$A$16:$A$22,0)),0.2)</f>
        <v>0.2</v>
      </c>
      <c r="I20" s="9" t="n">
        <f aca="false">E20-F20</f>
        <v>6.27391070467994</v>
      </c>
      <c r="J20" s="9" t="n">
        <f aca="false">IFERROR(CEILING(F20/H20*IF(Ajustes!$B$11=1,1+Ajustes!$B$12,1),0.5),0)</f>
        <v>5.5</v>
      </c>
      <c r="K20" s="2" t="str">
        <f aca="false">IF(G20&gt;H20+0.03,"Reajustar precio / receta",IF(G20&lt;H20-0.08,"Margen alto","OK"))</f>
        <v>OK</v>
      </c>
    </row>
    <row r="21" customFormat="false" ht="15" hidden="false" customHeight="false" outlineLevel="0" collapsed="false">
      <c r="A21" s="2" t="s">
        <v>36</v>
      </c>
      <c r="B21" s="3" t="s">
        <v>36</v>
      </c>
      <c r="C21" s="2" t="s">
        <v>24</v>
      </c>
      <c r="D21" s="5" t="n">
        <v>7</v>
      </c>
      <c r="E21" s="6" t="n">
        <f aca="false">IF(Ajustes!$B$11=1,D21/(1+Ajustes!$B$12),D21)</f>
        <v>6.36363636363636</v>
      </c>
      <c r="F21" s="6" t="n">
        <f aca="false">SUMIF(Especificaciones!$A$5:$A$153,A21,Especificaciones!$G$5:$G$153)</f>
        <v>1.58235835962145</v>
      </c>
      <c r="G21" s="7" t="n">
        <f aca="false">IFERROR(F21/E21,0)</f>
        <v>0.248656313654799</v>
      </c>
      <c r="H21" s="8" t="n">
        <f aca="false">IFERROR(INDEX(Ajustes!$B$16:$B$22,MATCH(C21,Ajustes!$A$16:$A$22,0)),0.2)</f>
        <v>0.2</v>
      </c>
      <c r="I21" s="9" t="n">
        <f aca="false">E21-F21</f>
        <v>4.78127800401491</v>
      </c>
      <c r="J21" s="9" t="n">
        <f aca="false">IFERROR(CEILING(F21/H21*IF(Ajustes!$B$11=1,1+Ajustes!$B$12,1),0.5),0)</f>
        <v>9</v>
      </c>
      <c r="K21" s="2" t="str">
        <f aca="false">IF(G21&gt;H21+0.03,"Reajustar precio / receta",IF(G21&lt;H21-0.08,"Margen alto","OK"))</f>
        <v>Reajustar precio / receta</v>
      </c>
    </row>
    <row r="22" customFormat="false" ht="15" hidden="false" customHeight="false" outlineLevel="0" collapsed="false">
      <c r="A22" s="2" t="s">
        <v>37</v>
      </c>
      <c r="B22" s="3" t="s">
        <v>37</v>
      </c>
      <c r="C22" s="2" t="s">
        <v>24</v>
      </c>
      <c r="D22" s="5" t="n">
        <v>7</v>
      </c>
      <c r="E22" s="6" t="n">
        <f aca="false">IF(Ajustes!$B$11=1,D22/(1+Ajustes!$B$12),D22)</f>
        <v>6.36363636363636</v>
      </c>
      <c r="F22" s="6" t="n">
        <f aca="false">SUMIF(Especificaciones!$A$5:$A$153,A22,Especificaciones!$G$5:$G$153)</f>
        <v>0.872859171597633</v>
      </c>
      <c r="G22" s="7" t="n">
        <f aca="false">IFERROR(F22/E22,0)</f>
        <v>0.1371635841082</v>
      </c>
      <c r="H22" s="8" t="n">
        <f aca="false">IFERROR(INDEX(Ajustes!$B$16:$B$22,MATCH(C22,Ajustes!$A$16:$A$22,0)),0.2)</f>
        <v>0.2</v>
      </c>
      <c r="I22" s="9" t="n">
        <f aca="false">E22-F22</f>
        <v>5.49077719203873</v>
      </c>
      <c r="J22" s="9" t="n">
        <f aca="false">IFERROR(CEILING(F22/H22*IF(Ajustes!$B$11=1,1+Ajustes!$B$12,1),0.5),0)</f>
        <v>5</v>
      </c>
      <c r="K22" s="2" t="str">
        <f aca="false">IF(G22&gt;H22+0.03,"Reajustar precio / receta",IF(G22&lt;H22-0.08,"Margen alto","OK"))</f>
        <v>OK</v>
      </c>
    </row>
    <row r="23" customFormat="false" ht="15" hidden="false" customHeight="false" outlineLevel="0" collapsed="false">
      <c r="A23" s="2" t="s">
        <v>38</v>
      </c>
      <c r="B23" s="3" t="s">
        <v>39</v>
      </c>
      <c r="C23" s="2" t="s">
        <v>24</v>
      </c>
      <c r="D23" s="5" t="n">
        <v>7</v>
      </c>
      <c r="E23" s="6" t="n">
        <f aca="false">IF(Ajustes!$B$11=1,D23/(1+Ajustes!$B$12),D23)</f>
        <v>6.36363636363636</v>
      </c>
      <c r="F23" s="6" t="n">
        <f aca="false">SUMIF(Especificaciones!$A$5:$A$153,A23,Especificaciones!$G$5:$G$153)</f>
        <v>0.810915976331361</v>
      </c>
      <c r="G23" s="7" t="n">
        <f aca="false">IFERROR(F23/E23,0)</f>
        <v>0.1274296534235</v>
      </c>
      <c r="H23" s="8" t="n">
        <f aca="false">IFERROR(INDEX(Ajustes!$B$16:$B$22,MATCH(C23,Ajustes!$A$16:$A$22,0)),0.2)</f>
        <v>0.2</v>
      </c>
      <c r="I23" s="9" t="n">
        <f aca="false">E23-F23</f>
        <v>5.552720387305</v>
      </c>
      <c r="J23" s="9" t="n">
        <f aca="false">IFERROR(CEILING(F23/H23*IF(Ajustes!$B$11=1,1+Ajustes!$B$12,1),0.5),0)</f>
        <v>4.5</v>
      </c>
      <c r="K23" s="2" t="str">
        <f aca="false">IF(G23&gt;H23+0.03,"Reajustar precio / receta",IF(G23&lt;H23-0.08,"Margen alto","OK"))</f>
        <v>OK</v>
      </c>
    </row>
    <row r="24" customFormat="false" ht="15" hidden="false" customHeight="false" outlineLevel="0" collapsed="false">
      <c r="A24" s="2" t="s">
        <v>40</v>
      </c>
      <c r="B24" s="3" t="s">
        <v>40</v>
      </c>
      <c r="C24" s="2" t="s">
        <v>24</v>
      </c>
      <c r="D24" s="5" t="n">
        <v>8</v>
      </c>
      <c r="E24" s="6" t="n">
        <f aca="false">IF(Ajustes!$B$11=1,D24/(1+Ajustes!$B$12),D24)</f>
        <v>7.27272727272727</v>
      </c>
      <c r="F24" s="6" t="n">
        <f aca="false">SUMIF(Especificaciones!$A$5:$A$153,A24,Especificaciones!$G$5:$G$153)</f>
        <v>2.88490719827774</v>
      </c>
      <c r="G24" s="7" t="n">
        <f aca="false">IFERROR(F24/E24,0)</f>
        <v>0.396674739763189</v>
      </c>
      <c r="H24" s="8" t="n">
        <f aca="false">IFERROR(INDEX(Ajustes!$B$16:$B$22,MATCH(C24,Ajustes!$A$16:$A$22,0)),0.2)</f>
        <v>0.2</v>
      </c>
      <c r="I24" s="9" t="n">
        <f aca="false">E24-F24</f>
        <v>4.38782007444953</v>
      </c>
      <c r="J24" s="9" t="n">
        <f aca="false">IFERROR(CEILING(F24/H24*IF(Ajustes!$B$11=1,1+Ajustes!$B$12,1),0.5),0)</f>
        <v>16</v>
      </c>
      <c r="K24" s="2" t="str">
        <f aca="false">IF(G24&gt;H24+0.03,"Reajustar precio / receta",IF(G24&lt;H24-0.08,"Margen alto","OK"))</f>
        <v>Reajustar precio / receta</v>
      </c>
    </row>
    <row r="25" customFormat="false" ht="15" hidden="false" customHeight="false" outlineLevel="0" collapsed="false">
      <c r="A25" s="2" t="s">
        <v>41</v>
      </c>
      <c r="B25" s="3" t="s">
        <v>41</v>
      </c>
      <c r="C25" s="2" t="s">
        <v>24</v>
      </c>
      <c r="D25" s="5" t="n">
        <v>7</v>
      </c>
      <c r="E25" s="6" t="n">
        <f aca="false">IF(Ajustes!$B$11=1,D25/(1+Ajustes!$B$12),D25)</f>
        <v>6.36363636363636</v>
      </c>
      <c r="F25" s="6" t="n">
        <f aca="false">SUMIF(Especificaciones!$A$5:$A$153,A25,Especificaciones!$G$5:$G$153)</f>
        <v>0.836160420775805</v>
      </c>
      <c r="G25" s="7" t="n">
        <f aca="false">IFERROR(F25/E25,0)</f>
        <v>0.131396637550484</v>
      </c>
      <c r="H25" s="8" t="n">
        <f aca="false">IFERROR(INDEX(Ajustes!$B$16:$B$22,MATCH(C25,Ajustes!$A$16:$A$22,0)),0.2)</f>
        <v>0.2</v>
      </c>
      <c r="I25" s="9" t="n">
        <f aca="false">E25-F25</f>
        <v>5.52747594286056</v>
      </c>
      <c r="J25" s="9" t="n">
        <f aca="false">IFERROR(CEILING(F25/H25*IF(Ajustes!$B$11=1,1+Ajustes!$B$12,1),0.5),0)</f>
        <v>5</v>
      </c>
      <c r="K25" s="2" t="str">
        <f aca="false">IF(G25&gt;H25+0.03,"Reajustar precio / receta",IF(G25&lt;H25-0.08,"Margen alto","OK"))</f>
        <v>OK</v>
      </c>
    </row>
    <row r="26" customFormat="false" ht="15" hidden="false" customHeight="false" outlineLevel="0" collapsed="false">
      <c r="A26" s="2" t="s">
        <v>42</v>
      </c>
      <c r="B26" s="3" t="s">
        <v>42</v>
      </c>
      <c r="C26" s="2" t="s">
        <v>24</v>
      </c>
      <c r="D26" s="5" t="n">
        <v>9</v>
      </c>
      <c r="E26" s="6" t="n">
        <f aca="false">IF(Ajustes!$B$11=1,D26/(1+Ajustes!$B$12),D26)</f>
        <v>8.18181818181818</v>
      </c>
      <c r="F26" s="6" t="n">
        <f aca="false">SUMIF(Especificaciones!$A$5:$A$153,A26,Especificaciones!$G$5:$G$153)</f>
        <v>2.04411847557337</v>
      </c>
      <c r="G26" s="7" t="n">
        <f aca="false">IFERROR(F26/E26,0)</f>
        <v>0.249836702570078</v>
      </c>
      <c r="H26" s="8" t="n">
        <f aca="false">IFERROR(INDEX(Ajustes!$B$16:$B$22,MATCH(C26,Ajustes!$A$16:$A$22,0)),0.2)</f>
        <v>0.2</v>
      </c>
      <c r="I26" s="9" t="n">
        <f aca="false">E26-F26</f>
        <v>6.13769970624482</v>
      </c>
      <c r="J26" s="9" t="n">
        <f aca="false">IFERROR(CEILING(F26/H26*IF(Ajustes!$B$11=1,1+Ajustes!$B$12,1),0.5),0)</f>
        <v>11.5</v>
      </c>
      <c r="K26" s="2" t="str">
        <f aca="false">IF(G26&gt;H26+0.03,"Reajustar precio / receta",IF(G26&lt;H26-0.08,"Margen alto","OK"))</f>
        <v>Reajustar precio / receta</v>
      </c>
    </row>
    <row r="27" customFormat="false" ht="15" hidden="false" customHeight="false" outlineLevel="0" collapsed="false">
      <c r="A27" s="2" t="s">
        <v>43</v>
      </c>
      <c r="B27" s="3" t="s">
        <v>44</v>
      </c>
      <c r="C27" s="2" t="s">
        <v>24</v>
      </c>
      <c r="D27" s="5" t="n">
        <v>7</v>
      </c>
      <c r="E27" s="6" t="n">
        <f aca="false">IF(Ajustes!$B$11=1,D27/(1+Ajustes!$B$12),D27)</f>
        <v>6.36363636363636</v>
      </c>
      <c r="F27" s="6" t="n">
        <f aca="false">SUMIF(Especificaciones!$A$5:$A$153,A27,Especificaciones!$G$5:$G$153)</f>
        <v>1.67849631966351</v>
      </c>
      <c r="G27" s="7" t="n">
        <f aca="false">IFERROR(F27/E27,0)</f>
        <v>0.263763707375695</v>
      </c>
      <c r="H27" s="8" t="n">
        <f aca="false">IFERROR(INDEX(Ajustes!$B$16:$B$22,MATCH(C27,Ajustes!$A$16:$A$22,0)),0.2)</f>
        <v>0.2</v>
      </c>
      <c r="I27" s="9" t="n">
        <f aca="false">E27-F27</f>
        <v>4.68514004397285</v>
      </c>
      <c r="J27" s="9" t="n">
        <f aca="false">IFERROR(CEILING(F27/H27*IF(Ajustes!$B$11=1,1+Ajustes!$B$12,1),0.5),0)</f>
        <v>9.5</v>
      </c>
      <c r="K27" s="2" t="str">
        <f aca="false">IF(G27&gt;H27+0.03,"Reajustar precio / receta",IF(G27&lt;H27-0.08,"Margen alto","OK"))</f>
        <v>Reajustar precio / receta</v>
      </c>
    </row>
    <row r="28" customFormat="false" ht="15" hidden="false" customHeight="false" outlineLevel="0" collapsed="false">
      <c r="A28" s="2" t="s">
        <v>45</v>
      </c>
      <c r="B28" s="3" t="s">
        <v>45</v>
      </c>
      <c r="C28" s="2" t="s">
        <v>24</v>
      </c>
      <c r="D28" s="5" t="n">
        <v>6</v>
      </c>
      <c r="E28" s="6" t="n">
        <f aca="false">IF(Ajustes!$B$11=1,D28/(1+Ajustes!$B$12),D28)</f>
        <v>5.45454545454545</v>
      </c>
      <c r="F28" s="6" t="n">
        <f aca="false">SUMIF(Especificaciones!$A$5:$A$153,A28,Especificaciones!$G$5:$G$153)</f>
        <v>1.16333333333333</v>
      </c>
      <c r="G28" s="7" t="n">
        <f aca="false">IFERROR(F28/E28,0)</f>
        <v>0.213277777777778</v>
      </c>
      <c r="H28" s="8" t="n">
        <f aca="false">IFERROR(INDEX(Ajustes!$B$16:$B$22,MATCH(C28,Ajustes!$A$16:$A$22,0)),0.2)</f>
        <v>0.2</v>
      </c>
      <c r="I28" s="9" t="n">
        <f aca="false">E28-F28</f>
        <v>4.29121212121212</v>
      </c>
      <c r="J28" s="9" t="n">
        <f aca="false">IFERROR(CEILING(F28/H28*IF(Ajustes!$B$11=1,1+Ajustes!$B$12,1),0.5),0)</f>
        <v>6.5</v>
      </c>
      <c r="K28" s="2" t="str">
        <f aca="false">IF(G28&gt;H28+0.03,"Reajustar precio / receta",IF(G28&lt;H28-0.08,"Margen alto","OK"))</f>
        <v>OK</v>
      </c>
    </row>
    <row r="29" customFormat="false" ht="15" hidden="false" customHeight="false" outlineLevel="0" collapsed="false">
      <c r="A29" s="2" t="s">
        <v>46</v>
      </c>
      <c r="B29" s="3" t="s">
        <v>47</v>
      </c>
      <c r="C29" s="2" t="s">
        <v>48</v>
      </c>
      <c r="D29" s="5" t="n">
        <v>3</v>
      </c>
      <c r="E29" s="6" t="n">
        <f aca="false">IF(Ajustes!$B$11=1,D29/(1+Ajustes!$B$12),D29)</f>
        <v>2.72727272727273</v>
      </c>
      <c r="F29" s="6" t="n">
        <f aca="false">SUMIF(Especificaciones!$A$5:$A$153,A29,Especificaciones!$G$5:$G$153)</f>
        <v>0.833333333333333</v>
      </c>
      <c r="G29" s="7" t="n">
        <f aca="false">IFERROR(F29/E29,0)</f>
        <v>0.305555555555556</v>
      </c>
      <c r="H29" s="8" t="n">
        <f aca="false">IFERROR(INDEX(Ajustes!$B$16:$B$22,MATCH(C29,Ajustes!$A$16:$A$22,0)),0.2)</f>
        <v>0.3</v>
      </c>
      <c r="I29" s="9" t="n">
        <f aca="false">E29-F29</f>
        <v>1.89393939393939</v>
      </c>
      <c r="J29" s="9" t="n">
        <f aca="false">IFERROR(CEILING(F29/H29*IF(Ajustes!$B$11=1,1+Ajustes!$B$12,1),0.5),0)</f>
        <v>3.5</v>
      </c>
      <c r="K29" s="2" t="str">
        <f aca="false">IF(G29&gt;H29+0.03,"Reajustar precio / receta",IF(G29&lt;H29-0.08,"Margen alto","OK"))</f>
        <v>OK</v>
      </c>
    </row>
    <row r="30" customFormat="false" ht="15" hidden="false" customHeight="false" outlineLevel="0" collapsed="false">
      <c r="A30" s="2" t="s">
        <v>49</v>
      </c>
      <c r="B30" s="3" t="s">
        <v>50</v>
      </c>
      <c r="C30" s="2" t="s">
        <v>48</v>
      </c>
      <c r="D30" s="5" t="n">
        <v>4.5</v>
      </c>
      <c r="E30" s="6" t="n">
        <f aca="false">IF(Ajustes!$B$11=1,D30/(1+Ajustes!$B$12),D30)</f>
        <v>4.09090909090909</v>
      </c>
      <c r="F30" s="6" t="n">
        <f aca="false">SUMIF(Especificaciones!$A$5:$A$153,A30,Especificaciones!$G$5:$G$153)</f>
        <v>1.58333333333333</v>
      </c>
      <c r="G30" s="7" t="n">
        <f aca="false">IFERROR(F30/E30,0)</f>
        <v>0.387037037037037</v>
      </c>
      <c r="H30" s="8" t="n">
        <f aca="false">IFERROR(INDEX(Ajustes!$B$16:$B$22,MATCH(C30,Ajustes!$A$16:$A$22,0)),0.2)</f>
        <v>0.3</v>
      </c>
      <c r="I30" s="9" t="n">
        <f aca="false">E30-F30</f>
        <v>2.50757575757576</v>
      </c>
      <c r="J30" s="9" t="n">
        <f aca="false">IFERROR(CEILING(F30/H30*IF(Ajustes!$B$11=1,1+Ajustes!$B$12,1),0.5),0)</f>
        <v>6</v>
      </c>
      <c r="K30" s="2" t="str">
        <f aca="false">IF(G30&gt;H30+0.03,"Reajustar precio / receta",IF(G30&lt;H30-0.08,"Margen alto","OK"))</f>
        <v>Reajustar precio / receta</v>
      </c>
    </row>
    <row r="31" customFormat="false" ht="15" hidden="false" customHeight="false" outlineLevel="0" collapsed="false">
      <c r="A31" s="2" t="s">
        <v>51</v>
      </c>
      <c r="B31" s="3" t="s">
        <v>52</v>
      </c>
      <c r="C31" s="2" t="s">
        <v>48</v>
      </c>
      <c r="D31" s="5" t="n">
        <v>6</v>
      </c>
      <c r="E31" s="6" t="n">
        <f aca="false">IF(Ajustes!$B$11=1,D31/(1+Ajustes!$B$12),D31)</f>
        <v>5.45454545454545</v>
      </c>
      <c r="F31" s="6" t="n">
        <f aca="false">SUMIF(Especificaciones!$A$5:$A$153,A31,Especificaciones!$G$5:$G$153)</f>
        <v>2.5</v>
      </c>
      <c r="G31" s="7" t="n">
        <f aca="false">IFERROR(F31/E31,0)</f>
        <v>0.458333333333333</v>
      </c>
      <c r="H31" s="8" t="n">
        <f aca="false">IFERROR(INDEX(Ajustes!$B$16:$B$22,MATCH(C31,Ajustes!$A$16:$A$22,0)),0.2)</f>
        <v>0.3</v>
      </c>
      <c r="I31" s="9" t="n">
        <f aca="false">E31-F31</f>
        <v>2.95454545454545</v>
      </c>
      <c r="J31" s="9" t="n">
        <f aca="false">IFERROR(CEILING(F31/H31*IF(Ajustes!$B$11=1,1+Ajustes!$B$12,1),0.5),0)</f>
        <v>9.5</v>
      </c>
      <c r="K31" s="2" t="str">
        <f aca="false">IF(G31&gt;H31+0.03,"Reajustar precio / receta",IF(G31&lt;H31-0.08,"Margen alto","OK"))</f>
        <v>Reajustar precio / receta</v>
      </c>
    </row>
    <row r="32" customFormat="false" ht="15" hidden="false" customHeight="false" outlineLevel="0" collapsed="false">
      <c r="A32" s="2" t="s">
        <v>53</v>
      </c>
      <c r="B32" s="3" t="s">
        <v>54</v>
      </c>
      <c r="C32" s="2" t="s">
        <v>48</v>
      </c>
      <c r="D32" s="5" t="n">
        <v>13</v>
      </c>
      <c r="E32" s="6" t="n">
        <f aca="false">IF(Ajustes!$B$11=1,D32/(1+Ajustes!$B$12),D32)</f>
        <v>11.8181818181818</v>
      </c>
      <c r="F32" s="6" t="n">
        <f aca="false">SUMIF(Especificaciones!$A$5:$A$153,A32,Especificaciones!$G$5:$G$153)</f>
        <v>4.16666666666667</v>
      </c>
      <c r="G32" s="7" t="n">
        <f aca="false">IFERROR(F32/E32,0)</f>
        <v>0.352564102564103</v>
      </c>
      <c r="H32" s="8" t="n">
        <f aca="false">IFERROR(INDEX(Ajustes!$B$16:$B$22,MATCH(C32,Ajustes!$A$16:$A$22,0)),0.2)</f>
        <v>0.3</v>
      </c>
      <c r="I32" s="9" t="n">
        <f aca="false">E32-F32</f>
        <v>7.65151515151515</v>
      </c>
      <c r="J32" s="9" t="n">
        <f aca="false">IFERROR(CEILING(F32/H32*IF(Ajustes!$B$11=1,1+Ajustes!$B$12,1),0.5),0)</f>
        <v>15.5</v>
      </c>
      <c r="K32" s="2" t="str">
        <f aca="false">IF(G32&gt;H32+0.03,"Reajustar precio / receta",IF(G32&lt;H32-0.08,"Margen alto","OK"))</f>
        <v>Reajustar precio / receta</v>
      </c>
    </row>
    <row r="33" customFormat="false" ht="15" hidden="false" customHeight="false" outlineLevel="0" collapsed="false">
      <c r="A33" s="2" t="s">
        <v>55</v>
      </c>
      <c r="B33" s="3" t="s">
        <v>56</v>
      </c>
      <c r="C33" s="2" t="s">
        <v>48</v>
      </c>
      <c r="D33" s="5" t="n">
        <v>2</v>
      </c>
      <c r="E33" s="6" t="n">
        <f aca="false">IF(Ajustes!$B$11=1,D33/(1+Ajustes!$B$12),D33)</f>
        <v>1.81818181818182</v>
      </c>
      <c r="F33" s="6" t="n">
        <f aca="false">SUMIF(Especificaciones!$A$5:$A$153,A33,Especificaciones!$G$5:$G$153)</f>
        <v>0.33</v>
      </c>
      <c r="G33" s="7" t="n">
        <f aca="false">IFERROR(F33/E33,0)</f>
        <v>0.1815</v>
      </c>
      <c r="H33" s="8" t="n">
        <f aca="false">IFERROR(INDEX(Ajustes!$B$16:$B$22,MATCH(C33,Ajustes!$A$16:$A$22,0)),0.2)</f>
        <v>0.3</v>
      </c>
      <c r="I33" s="9" t="n">
        <f aca="false">E33-F33</f>
        <v>1.48818181818182</v>
      </c>
      <c r="J33" s="9" t="n">
        <f aca="false">IFERROR(CEILING(F33/H33*IF(Ajustes!$B$11=1,1+Ajustes!$B$12,1),0.5),0)</f>
        <v>1.5</v>
      </c>
      <c r="K33" s="2" t="str">
        <f aca="false">IF(G33&gt;H33+0.03,"Reajustar precio / receta",IF(G33&lt;H33-0.08,"Margen alto","OK"))</f>
        <v>Margen alto</v>
      </c>
    </row>
    <row r="34" customFormat="false" ht="15" hidden="false" customHeight="false" outlineLevel="0" collapsed="false">
      <c r="A34" s="2" t="s">
        <v>57</v>
      </c>
      <c r="B34" s="3" t="s">
        <v>58</v>
      </c>
      <c r="C34" s="2" t="s">
        <v>59</v>
      </c>
      <c r="D34" s="5" t="n">
        <v>7</v>
      </c>
      <c r="E34" s="6" t="n">
        <f aca="false">IF(Ajustes!$B$11=1,D34/(1+Ajustes!$B$12),D34)</f>
        <v>6.36363636363636</v>
      </c>
      <c r="F34" s="6" t="n">
        <f aca="false">SUMIF(Especificaciones!$A$5:$A$153,A34,Especificaciones!$G$5:$G$153)</f>
        <v>1.97160883280757</v>
      </c>
      <c r="G34" s="7" t="n">
        <f aca="false">IFERROR(F34/E34,0)</f>
        <v>0.309824245155475</v>
      </c>
      <c r="H34" s="8" t="n">
        <f aca="false">IFERROR(INDEX(Ajustes!$B$16:$B$22,MATCH(C34,Ajustes!$A$16:$A$22,0)),0.2)</f>
        <v>0.3</v>
      </c>
      <c r="I34" s="9" t="n">
        <f aca="false">E34-F34</f>
        <v>4.39202753082879</v>
      </c>
      <c r="J34" s="9" t="n">
        <f aca="false">IFERROR(CEILING(F34/H34*IF(Ajustes!$B$11=1,1+Ajustes!$B$12,1),0.5),0)</f>
        <v>7.5</v>
      </c>
      <c r="K34" s="2" t="str">
        <f aca="false">IF(G34&gt;H34+0.03,"Reajustar precio / receta",IF(G34&lt;H34-0.08,"Margen alto","OK"))</f>
        <v>OK</v>
      </c>
    </row>
    <row r="35" customFormat="false" ht="15" hidden="false" customHeight="false" outlineLevel="0" collapsed="false">
      <c r="A35" s="2" t="s">
        <v>60</v>
      </c>
      <c r="B35" s="3" t="s">
        <v>61</v>
      </c>
      <c r="C35" s="2" t="s">
        <v>59</v>
      </c>
      <c r="D35" s="5" t="n">
        <v>28</v>
      </c>
      <c r="E35" s="6" t="n">
        <f aca="false">IF(Ajustes!$B$11=1,D35/(1+Ajustes!$B$12),D35)</f>
        <v>25.4545454545455</v>
      </c>
      <c r="F35" s="6" t="n">
        <f aca="false">SUMIF(Especificaciones!$A$5:$A$153,A35,Especificaciones!$G$5:$G$153)</f>
        <v>10</v>
      </c>
      <c r="G35" s="7" t="n">
        <f aca="false">IFERROR(F35/E35,0)</f>
        <v>0.392857142857143</v>
      </c>
      <c r="H35" s="8" t="n">
        <f aca="false">IFERROR(INDEX(Ajustes!$B$16:$B$22,MATCH(C35,Ajustes!$A$16:$A$22,0)),0.2)</f>
        <v>0.3</v>
      </c>
      <c r="I35" s="9" t="n">
        <f aca="false">E35-F35</f>
        <v>15.4545454545455</v>
      </c>
      <c r="J35" s="9" t="n">
        <f aca="false">IFERROR(CEILING(F35/H35*IF(Ajustes!$B$11=1,1+Ajustes!$B$12,1),0.5),0)</f>
        <v>37</v>
      </c>
      <c r="K35" s="2" t="str">
        <f aca="false">IF(G35&gt;H35+0.03,"Reajustar precio / receta",IF(G35&lt;H35-0.08,"Margen alto","OK"))</f>
        <v>Reajustar precio / receta</v>
      </c>
    </row>
    <row r="36" customFormat="false" ht="15" hidden="false" customHeight="false" outlineLevel="0" collapsed="false">
      <c r="A36" s="2" t="s">
        <v>62</v>
      </c>
      <c r="B36" s="3" t="s">
        <v>63</v>
      </c>
      <c r="C36" s="2" t="s">
        <v>59</v>
      </c>
      <c r="D36" s="5" t="n">
        <v>7</v>
      </c>
      <c r="E36" s="6" t="n">
        <f aca="false">IF(Ajustes!$B$11=1,D36/(1+Ajustes!$B$12),D36)</f>
        <v>6.36363636363636</v>
      </c>
      <c r="F36" s="6" t="n">
        <f aca="false">SUMIF(Especificaciones!$A$5:$A$153,A36,Especificaciones!$G$5:$G$153)</f>
        <v>1.97160883280757</v>
      </c>
      <c r="G36" s="7" t="n">
        <f aca="false">IFERROR(F36/E36,0)</f>
        <v>0.309824245155475</v>
      </c>
      <c r="H36" s="8" t="n">
        <f aca="false">IFERROR(INDEX(Ajustes!$B$16:$B$22,MATCH(C36,Ajustes!$A$16:$A$22,0)),0.2)</f>
        <v>0.3</v>
      </c>
      <c r="I36" s="9" t="n">
        <f aca="false">E36-F36</f>
        <v>4.39202753082879</v>
      </c>
      <c r="J36" s="9" t="n">
        <f aca="false">IFERROR(CEILING(F36/H36*IF(Ajustes!$B$11=1,1+Ajustes!$B$12,1),0.5),0)</f>
        <v>7.5</v>
      </c>
      <c r="K36" s="2" t="str">
        <f aca="false">IF(G36&gt;H36+0.03,"Reajustar precio / receta",IF(G36&lt;H36-0.08,"Margen alto","OK"))</f>
        <v>OK</v>
      </c>
    </row>
    <row r="37" customFormat="false" ht="15" hidden="false" customHeight="false" outlineLevel="0" collapsed="false">
      <c r="A37" s="2" t="s">
        <v>64</v>
      </c>
      <c r="B37" s="3" t="s">
        <v>65</v>
      </c>
      <c r="C37" s="2" t="s">
        <v>59</v>
      </c>
      <c r="D37" s="5" t="n">
        <v>28</v>
      </c>
      <c r="E37" s="6" t="n">
        <f aca="false">IF(Ajustes!$B$11=1,D37/(1+Ajustes!$B$12),D37)</f>
        <v>25.4545454545455</v>
      </c>
      <c r="F37" s="6" t="n">
        <f aca="false">SUMIF(Especificaciones!$A$5:$A$153,A37,Especificaciones!$G$5:$G$153)</f>
        <v>10</v>
      </c>
      <c r="G37" s="7" t="n">
        <f aca="false">IFERROR(F37/E37,0)</f>
        <v>0.392857142857143</v>
      </c>
      <c r="H37" s="8" t="n">
        <f aca="false">IFERROR(INDEX(Ajustes!$B$16:$B$22,MATCH(C37,Ajustes!$A$16:$A$22,0)),0.2)</f>
        <v>0.3</v>
      </c>
      <c r="I37" s="9" t="n">
        <f aca="false">E37-F37</f>
        <v>15.4545454545455</v>
      </c>
      <c r="J37" s="9" t="n">
        <f aca="false">IFERROR(CEILING(F37/H37*IF(Ajustes!$B$11=1,1+Ajustes!$B$12,1),0.5),0)</f>
        <v>37</v>
      </c>
      <c r="K37" s="2" t="str">
        <f aca="false">IF(G37&gt;H37+0.03,"Reajustar precio / receta",IF(G37&lt;H37-0.08,"Margen alto","OK"))</f>
        <v>Reajustar precio / receta</v>
      </c>
    </row>
    <row r="38" customFormat="false" ht="15" hidden="false" customHeight="false" outlineLevel="0" collapsed="false">
      <c r="A38" s="2" t="s">
        <v>66</v>
      </c>
      <c r="B38" s="3" t="s">
        <v>67</v>
      </c>
      <c r="C38" s="2" t="s">
        <v>59</v>
      </c>
      <c r="D38" s="5" t="n">
        <v>6</v>
      </c>
      <c r="E38" s="6" t="n">
        <f aca="false">IF(Ajustes!$B$11=1,D38/(1+Ajustes!$B$12),D38)</f>
        <v>5.45454545454545</v>
      </c>
      <c r="F38" s="6" t="n">
        <f aca="false">SUMIF(Especificaciones!$A$5:$A$153,A38,Especificaciones!$G$5:$G$153)</f>
        <v>1.57728706624606</v>
      </c>
      <c r="G38" s="7" t="n">
        <f aca="false">IFERROR(F38/E38,0)</f>
        <v>0.289169295478444</v>
      </c>
      <c r="H38" s="8" t="n">
        <f aca="false">IFERROR(INDEX(Ajustes!$B$16:$B$22,MATCH(C38,Ajustes!$A$16:$A$22,0)),0.2)</f>
        <v>0.3</v>
      </c>
      <c r="I38" s="9" t="n">
        <f aca="false">E38-F38</f>
        <v>3.8772583882994</v>
      </c>
      <c r="J38" s="9" t="n">
        <f aca="false">IFERROR(CEILING(F38/H38*IF(Ajustes!$B$11=1,1+Ajustes!$B$12,1),0.5),0)</f>
        <v>6</v>
      </c>
      <c r="K38" s="2" t="str">
        <f aca="false">IF(G38&gt;H38+0.03,"Reajustar precio / receta",IF(G38&lt;H38-0.08,"Margen alto","OK"))</f>
        <v>OK</v>
      </c>
    </row>
    <row r="39" customFormat="false" ht="15" hidden="false" customHeight="false" outlineLevel="0" collapsed="false">
      <c r="A39" s="2" t="s">
        <v>68</v>
      </c>
      <c r="B39" s="3" t="s">
        <v>69</v>
      </c>
      <c r="C39" s="2" t="s">
        <v>59</v>
      </c>
      <c r="D39" s="5" t="n">
        <v>26</v>
      </c>
      <c r="E39" s="6" t="n">
        <f aca="false">IF(Ajustes!$B$11=1,D39/(1+Ajustes!$B$12),D39)</f>
        <v>23.6363636363636</v>
      </c>
      <c r="F39" s="6" t="n">
        <f aca="false">SUMIF(Especificaciones!$A$5:$A$153,A39,Especificaciones!$G$5:$G$153)</f>
        <v>8</v>
      </c>
      <c r="G39" s="7" t="n">
        <f aca="false">IFERROR(F39/E39,0)</f>
        <v>0.338461538461539</v>
      </c>
      <c r="H39" s="8" t="n">
        <f aca="false">IFERROR(INDEX(Ajustes!$B$16:$B$22,MATCH(C39,Ajustes!$A$16:$A$22,0)),0.2)</f>
        <v>0.3</v>
      </c>
      <c r="I39" s="9" t="n">
        <f aca="false">E39-F39</f>
        <v>15.6363636363636</v>
      </c>
      <c r="J39" s="9" t="n">
        <f aca="false">IFERROR(CEILING(F39/H39*IF(Ajustes!$B$11=1,1+Ajustes!$B$12,1),0.5),0)</f>
        <v>29.5</v>
      </c>
      <c r="K39" s="2" t="str">
        <f aca="false">IF(G39&gt;H39+0.03,"Reajustar precio / receta",IF(G39&lt;H39-0.08,"Margen alto","OK"))</f>
        <v>Reajustar precio / receta</v>
      </c>
    </row>
    <row r="40" customFormat="false" ht="15" hidden="false" customHeight="false" outlineLevel="0" collapsed="false">
      <c r="A40" s="2" t="s">
        <v>70</v>
      </c>
      <c r="B40" s="3" t="s">
        <v>71</v>
      </c>
      <c r="C40" s="2" t="s">
        <v>59</v>
      </c>
      <c r="D40" s="5" t="n">
        <v>7</v>
      </c>
      <c r="E40" s="6" t="n">
        <f aca="false">IF(Ajustes!$B$11=1,D40/(1+Ajustes!$B$12),D40)</f>
        <v>6.36363636363636</v>
      </c>
      <c r="F40" s="6" t="n">
        <f aca="false">SUMIF(Especificaciones!$A$5:$A$153,A40,Especificaciones!$G$5:$G$153)</f>
        <v>1.97160883280757</v>
      </c>
      <c r="G40" s="7" t="n">
        <f aca="false">IFERROR(F40/E40,0)</f>
        <v>0.309824245155475</v>
      </c>
      <c r="H40" s="8" t="n">
        <f aca="false">IFERROR(INDEX(Ajustes!$B$16:$B$22,MATCH(C40,Ajustes!$A$16:$A$22,0)),0.2)</f>
        <v>0.3</v>
      </c>
      <c r="I40" s="9" t="n">
        <f aca="false">E40-F40</f>
        <v>4.39202753082879</v>
      </c>
      <c r="J40" s="9" t="n">
        <f aca="false">IFERROR(CEILING(F40/H40*IF(Ajustes!$B$11=1,1+Ajustes!$B$12,1),0.5),0)</f>
        <v>7.5</v>
      </c>
      <c r="K40" s="2" t="str">
        <f aca="false">IF(G40&gt;H40+0.03,"Reajustar precio / receta",IF(G40&lt;H40-0.08,"Margen alto","OK"))</f>
        <v>OK</v>
      </c>
    </row>
    <row r="41" customFormat="false" ht="15" hidden="false" customHeight="false" outlineLevel="0" collapsed="false">
      <c r="A41" s="2" t="s">
        <v>72</v>
      </c>
      <c r="B41" s="3" t="s">
        <v>73</v>
      </c>
      <c r="C41" s="2" t="s">
        <v>59</v>
      </c>
      <c r="D41" s="5" t="n">
        <v>28</v>
      </c>
      <c r="E41" s="6" t="n">
        <f aca="false">IF(Ajustes!$B$11=1,D41/(1+Ajustes!$B$12),D41)</f>
        <v>25.4545454545455</v>
      </c>
      <c r="F41" s="6" t="n">
        <f aca="false">SUMIF(Especificaciones!$A$5:$A$153,A41,Especificaciones!$G$5:$G$153)</f>
        <v>10</v>
      </c>
      <c r="G41" s="7" t="n">
        <f aca="false">IFERROR(F41/E41,0)</f>
        <v>0.392857142857143</v>
      </c>
      <c r="H41" s="8" t="n">
        <f aca="false">IFERROR(INDEX(Ajustes!$B$16:$B$22,MATCH(C41,Ajustes!$A$16:$A$22,0)),0.2)</f>
        <v>0.3</v>
      </c>
      <c r="I41" s="9" t="n">
        <f aca="false">E41-F41</f>
        <v>15.4545454545455</v>
      </c>
      <c r="J41" s="9" t="n">
        <f aca="false">IFERROR(CEILING(F41/H41*IF(Ajustes!$B$11=1,1+Ajustes!$B$12,1),0.5),0)</f>
        <v>37</v>
      </c>
      <c r="K41" s="2" t="str">
        <f aca="false">IF(G41&gt;H41+0.03,"Reajustar precio / receta",IF(G41&lt;H41-0.08,"Margen alto","OK"))</f>
        <v>Reajustar precio / receta</v>
      </c>
    </row>
    <row r="42" customFormat="false" ht="15" hidden="false" customHeight="false" outlineLevel="0" collapsed="false">
      <c r="A42" s="2" t="s">
        <v>74</v>
      </c>
      <c r="B42" s="3" t="s">
        <v>75</v>
      </c>
      <c r="C42" s="2" t="s">
        <v>59</v>
      </c>
      <c r="D42" s="5" t="n">
        <v>7</v>
      </c>
      <c r="E42" s="6" t="n">
        <f aca="false">IF(Ajustes!$B$11=1,D42/(1+Ajustes!$B$12),D42)</f>
        <v>6.36363636363636</v>
      </c>
      <c r="F42" s="6" t="n">
        <f aca="false">SUMIF(Especificaciones!$A$5:$A$153,A42,Especificaciones!$G$5:$G$153)</f>
        <v>1.97160883280757</v>
      </c>
      <c r="G42" s="7" t="n">
        <f aca="false">IFERROR(F42/E42,0)</f>
        <v>0.309824245155475</v>
      </c>
      <c r="H42" s="8" t="n">
        <f aca="false">IFERROR(INDEX(Ajustes!$B$16:$B$22,MATCH(C42,Ajustes!$A$16:$A$22,0)),0.2)</f>
        <v>0.3</v>
      </c>
      <c r="I42" s="9" t="n">
        <f aca="false">E42-F42</f>
        <v>4.39202753082879</v>
      </c>
      <c r="J42" s="9" t="n">
        <f aca="false">IFERROR(CEILING(F42/H42*IF(Ajustes!$B$11=1,1+Ajustes!$B$12,1),0.5),0)</f>
        <v>7.5</v>
      </c>
      <c r="K42" s="2" t="str">
        <f aca="false">IF(G42&gt;H42+0.03,"Reajustar precio / receta",IF(G42&lt;H42-0.08,"Margen alto","OK"))</f>
        <v>OK</v>
      </c>
    </row>
    <row r="43" customFormat="false" ht="15" hidden="false" customHeight="false" outlineLevel="0" collapsed="false">
      <c r="A43" s="2" t="s">
        <v>76</v>
      </c>
      <c r="B43" s="3" t="s">
        <v>77</v>
      </c>
      <c r="C43" s="2" t="s">
        <v>59</v>
      </c>
      <c r="D43" s="5" t="n">
        <v>30</v>
      </c>
      <c r="E43" s="6" t="n">
        <f aca="false">IF(Ajustes!$B$11=1,D43/(1+Ajustes!$B$12),D43)</f>
        <v>27.2727272727273</v>
      </c>
      <c r="F43" s="6" t="n">
        <f aca="false">SUMIF(Especificaciones!$A$5:$A$153,A43,Especificaciones!$G$5:$G$153)</f>
        <v>10</v>
      </c>
      <c r="G43" s="7" t="n">
        <f aca="false">IFERROR(F43/E43,0)</f>
        <v>0.366666666666667</v>
      </c>
      <c r="H43" s="8" t="n">
        <f aca="false">IFERROR(INDEX(Ajustes!$B$16:$B$22,MATCH(C43,Ajustes!$A$16:$A$22,0)),0.2)</f>
        <v>0.3</v>
      </c>
      <c r="I43" s="9" t="n">
        <f aca="false">E43-F43</f>
        <v>17.2727272727273</v>
      </c>
      <c r="J43" s="9" t="n">
        <f aca="false">IFERROR(CEILING(F43/H43*IF(Ajustes!$B$11=1,1+Ajustes!$B$12,1),0.5),0)</f>
        <v>37</v>
      </c>
      <c r="K43" s="2" t="str">
        <f aca="false">IF(G43&gt;H43+0.03,"Reajustar precio / receta",IF(G43&lt;H43-0.08,"Margen alto","OK"))</f>
        <v>Reajustar precio / receta</v>
      </c>
    </row>
    <row r="44" customFormat="false" ht="15" hidden="false" customHeight="false" outlineLevel="0" collapsed="false">
      <c r="A44" s="2" t="s">
        <v>78</v>
      </c>
      <c r="B44" s="3" t="s">
        <v>79</v>
      </c>
      <c r="C44" s="2" t="s">
        <v>59</v>
      </c>
      <c r="D44" s="5" t="n">
        <v>7</v>
      </c>
      <c r="E44" s="6" t="n">
        <f aca="false">IF(Ajustes!$B$11=1,D44/(1+Ajustes!$B$12),D44)</f>
        <v>6.36363636363636</v>
      </c>
      <c r="F44" s="6" t="n">
        <f aca="false">SUMIF(Especificaciones!$A$5:$A$153,A44,Especificaciones!$G$5:$G$153)</f>
        <v>1.9147418985932</v>
      </c>
      <c r="G44" s="7" t="n">
        <f aca="false">IFERROR(F44/E44,0)</f>
        <v>0.300888012636074</v>
      </c>
      <c r="H44" s="8" t="n">
        <f aca="false">IFERROR(INDEX(Ajustes!$B$16:$B$22,MATCH(C44,Ajustes!$A$16:$A$22,0)),0.2)</f>
        <v>0.3</v>
      </c>
      <c r="I44" s="9" t="n">
        <f aca="false">E44-F44</f>
        <v>4.44889446504317</v>
      </c>
      <c r="J44" s="9" t="n">
        <f aca="false">IFERROR(CEILING(F44/H44*IF(Ajustes!$B$11=1,1+Ajustes!$B$12,1),0.5),0)</f>
        <v>7.5</v>
      </c>
      <c r="K44" s="2" t="str">
        <f aca="false">IF(G44&gt;H44+0.03,"Reajustar precio / receta",IF(G44&lt;H44-0.08,"Margen alto","OK"))</f>
        <v>OK</v>
      </c>
    </row>
    <row r="45" customFormat="false" ht="15" hidden="false" customHeight="false" outlineLevel="0" collapsed="false">
      <c r="A45" s="2" t="s">
        <v>80</v>
      </c>
      <c r="B45" s="3" t="s">
        <v>81</v>
      </c>
      <c r="C45" s="2" t="s">
        <v>82</v>
      </c>
      <c r="D45" s="5" t="n">
        <v>6</v>
      </c>
      <c r="E45" s="6" t="n">
        <f aca="false">IF(Ajustes!$B$11=1,D45/(1+Ajustes!$B$12),D45)</f>
        <v>5.45454545454545</v>
      </c>
      <c r="F45" s="6" t="n">
        <f aca="false">SUMIF(Especificaciones!$A$5:$A$153,A45,Especificaciones!$G$5:$G$153)</f>
        <v>1.41955835962145</v>
      </c>
      <c r="G45" s="7" t="n">
        <f aca="false">IFERROR(F45/E45,0)</f>
        <v>0.260252365930599</v>
      </c>
      <c r="H45" s="8" t="n">
        <f aca="false">IFERROR(INDEX(Ajustes!$B$16:$B$22,MATCH(C45,Ajustes!$A$16:$A$22,0)),0.2)</f>
        <v>0.18</v>
      </c>
      <c r="I45" s="9" t="n">
        <f aca="false">E45-F45</f>
        <v>4.034987094924</v>
      </c>
      <c r="J45" s="9" t="n">
        <f aca="false">IFERROR(CEILING(F45/H45*IF(Ajustes!$B$11=1,1+Ajustes!$B$12,1),0.5),0)</f>
        <v>9</v>
      </c>
      <c r="K45" s="2" t="str">
        <f aca="false">IF(G45&gt;H45+0.03,"Reajustar precio / receta",IF(G45&lt;H45-0.08,"Margen alto","OK"))</f>
        <v>Reajustar precio / receta</v>
      </c>
    </row>
    <row r="46" customFormat="false" ht="15" hidden="false" customHeight="false" outlineLevel="0" collapsed="false">
      <c r="A46" s="2" t="s">
        <v>83</v>
      </c>
      <c r="B46" s="3" t="s">
        <v>83</v>
      </c>
      <c r="C46" s="2" t="s">
        <v>82</v>
      </c>
      <c r="D46" s="5" t="n">
        <v>4</v>
      </c>
      <c r="E46" s="6" t="n">
        <f aca="false">IF(Ajustes!$B$11=1,D46/(1+Ajustes!$B$12),D46)</f>
        <v>3.63636363636364</v>
      </c>
      <c r="F46" s="6" t="n">
        <f aca="false">SUMIF(Especificaciones!$A$5:$A$153,A46,Especificaciones!$G$5:$G$153)</f>
        <v>0.473372781065089</v>
      </c>
      <c r="G46" s="7" t="n">
        <f aca="false">IFERROR(F46/E46,0)</f>
        <v>0.130177514792899</v>
      </c>
      <c r="H46" s="8" t="n">
        <f aca="false">IFERROR(INDEX(Ajustes!$B$16:$B$22,MATCH(C46,Ajustes!$A$16:$A$22,0)),0.2)</f>
        <v>0.18</v>
      </c>
      <c r="I46" s="9" t="n">
        <f aca="false">E46-F46</f>
        <v>3.16299085529855</v>
      </c>
      <c r="J46" s="9" t="n">
        <f aca="false">IFERROR(CEILING(F46/H46*IF(Ajustes!$B$11=1,1+Ajustes!$B$12,1),0.5),0)</f>
        <v>3</v>
      </c>
      <c r="K46" s="2" t="str">
        <f aca="false">IF(G46&gt;H46+0.03,"Reajustar precio / receta",IF(G46&lt;H46-0.08,"Margen alto","OK"))</f>
        <v>OK</v>
      </c>
    </row>
    <row r="47" customFormat="false" ht="15" hidden="false" customHeight="false" outlineLevel="0" collapsed="false">
      <c r="A47" s="2" t="s">
        <v>84</v>
      </c>
      <c r="B47" s="3" t="s">
        <v>84</v>
      </c>
      <c r="C47" s="2" t="s">
        <v>82</v>
      </c>
      <c r="D47" s="5" t="n">
        <v>5</v>
      </c>
      <c r="E47" s="6" t="n">
        <f aca="false">IF(Ajustes!$B$11=1,D47/(1+Ajustes!$B$12),D47)</f>
        <v>4.54545454545455</v>
      </c>
      <c r="F47" s="6" t="n">
        <f aca="false">SUMIF(Especificaciones!$A$5:$A$153,A47,Especificaciones!$G$5:$G$153)</f>
        <v>0.710059171597633</v>
      </c>
      <c r="G47" s="7" t="n">
        <f aca="false">IFERROR(F47/E47,0)</f>
        <v>0.156213017751479</v>
      </c>
      <c r="H47" s="8" t="n">
        <f aca="false">IFERROR(INDEX(Ajustes!$B$16:$B$22,MATCH(C47,Ajustes!$A$16:$A$22,0)),0.2)</f>
        <v>0.18</v>
      </c>
      <c r="I47" s="9" t="n">
        <f aca="false">E47-F47</f>
        <v>3.83539537385691</v>
      </c>
      <c r="J47" s="9" t="n">
        <f aca="false">IFERROR(CEILING(F47/H47*IF(Ajustes!$B$11=1,1+Ajustes!$B$12,1),0.5),0)</f>
        <v>4.5</v>
      </c>
      <c r="K47" s="2" t="str">
        <f aca="false">IF(G47&gt;H47+0.03,"Reajustar precio / receta",IF(G47&lt;H47-0.08,"Margen alto","OK"))</f>
        <v>OK</v>
      </c>
    </row>
    <row r="48" customFormat="false" ht="15" hidden="false" customHeight="false" outlineLevel="0" collapsed="false">
      <c r="A48" s="2" t="s">
        <v>85</v>
      </c>
      <c r="B48" s="3" t="s">
        <v>86</v>
      </c>
      <c r="C48" s="2" t="s">
        <v>82</v>
      </c>
      <c r="D48" s="5" t="n">
        <v>6</v>
      </c>
      <c r="E48" s="6" t="n">
        <f aca="false">IF(Ajustes!$B$11=1,D48/(1+Ajustes!$B$12),D48)</f>
        <v>5.45454545454545</v>
      </c>
      <c r="F48" s="6" t="n">
        <f aca="false">SUMIF(Especificaciones!$A$5:$A$153,A48,Especificaciones!$G$5:$G$153)</f>
        <v>1.26182965299685</v>
      </c>
      <c r="G48" s="7" t="n">
        <f aca="false">IFERROR(F48/E48,0)</f>
        <v>0.231335436382755</v>
      </c>
      <c r="H48" s="8" t="n">
        <f aca="false">IFERROR(INDEX(Ajustes!$B$16:$B$22,MATCH(C48,Ajustes!$A$16:$A$22,0)),0.2)</f>
        <v>0.18</v>
      </c>
      <c r="I48" s="9" t="n">
        <f aca="false">E48-F48</f>
        <v>4.19271580154861</v>
      </c>
      <c r="J48" s="9" t="n">
        <f aca="false">IFERROR(CEILING(F48/H48*IF(Ajustes!$B$11=1,1+Ajustes!$B$12,1),0.5),0)</f>
        <v>8</v>
      </c>
      <c r="K48" s="2" t="str">
        <f aca="false">IF(G48&gt;H48+0.03,"Reajustar precio / receta",IF(G48&lt;H48-0.08,"Margen alto","OK"))</f>
        <v>Reajustar precio / receta</v>
      </c>
    </row>
    <row r="49" customFormat="false" ht="15" hidden="false" customHeight="false" outlineLevel="0" collapsed="false">
      <c r="A49" s="2" t="s">
        <v>87</v>
      </c>
      <c r="B49" s="3" t="s">
        <v>87</v>
      </c>
      <c r="C49" s="2" t="s">
        <v>82</v>
      </c>
      <c r="D49" s="5" t="n">
        <v>6</v>
      </c>
      <c r="E49" s="6" t="n">
        <f aca="false">IF(Ajustes!$B$11=1,D49/(1+Ajustes!$B$12),D49)</f>
        <v>5.45454545454545</v>
      </c>
      <c r="F49" s="6" t="n">
        <f aca="false">SUMIF(Especificaciones!$A$5:$A$153,A49,Especificaciones!$G$5:$G$153)</f>
        <v>1.57728706624606</v>
      </c>
      <c r="G49" s="7" t="n">
        <f aca="false">IFERROR(F49/E49,0)</f>
        <v>0.289169295478444</v>
      </c>
      <c r="H49" s="8" t="n">
        <f aca="false">IFERROR(INDEX(Ajustes!$B$16:$B$22,MATCH(C49,Ajustes!$A$16:$A$22,0)),0.2)</f>
        <v>0.18</v>
      </c>
      <c r="I49" s="9" t="n">
        <f aca="false">E49-F49</f>
        <v>3.8772583882994</v>
      </c>
      <c r="J49" s="9" t="n">
        <f aca="false">IFERROR(CEILING(F49/H49*IF(Ajustes!$B$11=1,1+Ajustes!$B$12,1),0.5),0)</f>
        <v>10</v>
      </c>
      <c r="K49" s="2" t="str">
        <f aca="false">IF(G49&gt;H49+0.03,"Reajustar precio / receta",IF(G49&lt;H49-0.08,"Margen alto","OK"))</f>
        <v>Reajustar precio / receta</v>
      </c>
    </row>
    <row r="50" customFormat="false" ht="15" hidden="false" customHeight="false" outlineLevel="0" collapsed="false">
      <c r="A50" s="2" t="s">
        <v>88</v>
      </c>
      <c r="B50" s="3" t="s">
        <v>88</v>
      </c>
      <c r="C50" s="2" t="s">
        <v>82</v>
      </c>
      <c r="D50" s="5" t="n">
        <v>6</v>
      </c>
      <c r="E50" s="6" t="n">
        <f aca="false">IF(Ajustes!$B$11=1,D50/(1+Ajustes!$B$12),D50)</f>
        <v>5.45454545454545</v>
      </c>
      <c r="F50" s="6" t="n">
        <f aca="false">SUMIF(Especificaciones!$A$5:$A$153,A50,Especificaciones!$G$5:$G$153)</f>
        <v>1.41955835962145</v>
      </c>
      <c r="G50" s="7" t="n">
        <f aca="false">IFERROR(F50/E50,0)</f>
        <v>0.260252365930599</v>
      </c>
      <c r="H50" s="8" t="n">
        <f aca="false">IFERROR(INDEX(Ajustes!$B$16:$B$22,MATCH(C50,Ajustes!$A$16:$A$22,0)),0.2)</f>
        <v>0.18</v>
      </c>
      <c r="I50" s="9" t="n">
        <f aca="false">E50-F50</f>
        <v>4.034987094924</v>
      </c>
      <c r="J50" s="9" t="n">
        <f aca="false">IFERROR(CEILING(F50/H50*IF(Ajustes!$B$11=1,1+Ajustes!$B$12,1),0.5),0)</f>
        <v>9</v>
      </c>
      <c r="K50" s="2" t="str">
        <f aca="false">IF(G50&gt;H50+0.03,"Reajustar precio / receta",IF(G50&lt;H50-0.08,"Margen alto","OK"))</f>
        <v>Reajustar precio / receta</v>
      </c>
    </row>
    <row r="51" customFormat="false" ht="15" hidden="false" customHeight="false" outlineLevel="0" collapsed="false">
      <c r="A51" s="2" t="s">
        <v>89</v>
      </c>
      <c r="B51" s="3" t="s">
        <v>89</v>
      </c>
      <c r="C51" s="2" t="s">
        <v>82</v>
      </c>
      <c r="D51" s="5" t="n">
        <v>7</v>
      </c>
      <c r="E51" s="6" t="n">
        <f aca="false">IF(Ajustes!$B$11=1,D51/(1+Ajustes!$B$12),D51)</f>
        <v>6.36363636363636</v>
      </c>
      <c r="F51" s="6" t="n">
        <f aca="false">SUMIF(Especificaciones!$A$5:$A$153,A51,Especificaciones!$G$5:$G$153)</f>
        <v>1.41955835962145</v>
      </c>
      <c r="G51" s="7" t="n">
        <f aca="false">IFERROR(F51/E51,0)</f>
        <v>0.223073456511942</v>
      </c>
      <c r="H51" s="8" t="n">
        <f aca="false">IFERROR(INDEX(Ajustes!$B$16:$B$22,MATCH(C51,Ajustes!$A$16:$A$22,0)),0.2)</f>
        <v>0.18</v>
      </c>
      <c r="I51" s="9" t="n">
        <f aca="false">E51-F51</f>
        <v>4.94407800401491</v>
      </c>
      <c r="J51" s="9" t="n">
        <f aca="false">IFERROR(CEILING(F51/H51*IF(Ajustes!$B$11=1,1+Ajustes!$B$12,1),0.5),0)</f>
        <v>9</v>
      </c>
      <c r="K51" s="2" t="str">
        <f aca="false">IF(G51&gt;H51+0.03,"Reajustar precio / receta",IF(G51&lt;H51-0.08,"Margen alto","OK"))</f>
        <v>Reajustar precio / receta</v>
      </c>
    </row>
    <row r="52" customFormat="false" ht="15" hidden="false" customHeight="false" outlineLevel="0" collapsed="false">
      <c r="A52" s="2" t="s">
        <v>90</v>
      </c>
      <c r="B52" s="3" t="s">
        <v>90</v>
      </c>
      <c r="C52" s="2" t="s">
        <v>82</v>
      </c>
      <c r="D52" s="5" t="n">
        <v>8</v>
      </c>
      <c r="E52" s="6" t="n">
        <f aca="false">IF(Ajustes!$B$11=1,D52/(1+Ajustes!$B$12),D52)</f>
        <v>7.27272727272727</v>
      </c>
      <c r="F52" s="6" t="n">
        <f aca="false">SUMIF(Especificaciones!$A$5:$A$153,A52,Especificaciones!$G$5:$G$153)</f>
        <v>2.62365930599369</v>
      </c>
      <c r="G52" s="7" t="n">
        <f aca="false">IFERROR(F52/E52,0)</f>
        <v>0.360753154574133</v>
      </c>
      <c r="H52" s="8" t="n">
        <f aca="false">IFERROR(INDEX(Ajustes!$B$16:$B$22,MATCH(C52,Ajustes!$A$16:$A$22,0)),0.2)</f>
        <v>0.18</v>
      </c>
      <c r="I52" s="9" t="n">
        <f aca="false">E52-F52</f>
        <v>4.64906796673358</v>
      </c>
      <c r="J52" s="9" t="n">
        <f aca="false">IFERROR(CEILING(F52/H52*IF(Ajustes!$B$11=1,1+Ajustes!$B$12,1),0.5),0)</f>
        <v>16.5</v>
      </c>
      <c r="K52" s="2" t="str">
        <f aca="false">IF(G52&gt;H52+0.03,"Reajustar precio / receta",IF(G52&lt;H52-0.08,"Margen alto","OK"))</f>
        <v>Reajustar precio / receta</v>
      </c>
    </row>
    <row r="53" customFormat="false" ht="15" hidden="false" customHeight="false" outlineLevel="0" collapsed="false">
      <c r="A53" s="2" t="s">
        <v>91</v>
      </c>
      <c r="B53" s="3" t="s">
        <v>91</v>
      </c>
      <c r="C53" s="2" t="s">
        <v>92</v>
      </c>
      <c r="D53" s="5" t="n">
        <v>4</v>
      </c>
      <c r="E53" s="6" t="n">
        <f aca="false">IF(Ajustes!$B$11=1,D53/(1+Ajustes!$B$12),D53)</f>
        <v>3.63636363636364</v>
      </c>
      <c r="F53" s="6" t="n">
        <f aca="false">SUMIF(Especificaciones!$A$5:$A$153,A53,Especificaciones!$G$5:$G$153)</f>
        <v>0.30783807938856</v>
      </c>
      <c r="G53" s="7" t="n">
        <f aca="false">IFERROR(F53/E53,0)</f>
        <v>0.0846554718318541</v>
      </c>
      <c r="H53" s="8" t="n">
        <f aca="false">IFERROR(INDEX(Ajustes!$B$16:$B$22,MATCH(C53,Ajustes!$A$16:$A$22,0)),0.2)</f>
        <v>0.15</v>
      </c>
      <c r="I53" s="9" t="n">
        <f aca="false">E53-F53</f>
        <v>3.32852555697508</v>
      </c>
      <c r="J53" s="9" t="n">
        <f aca="false">IFERROR(CEILING(F53/H53*IF(Ajustes!$B$11=1,1+Ajustes!$B$12,1),0.5),0)</f>
        <v>2.5</v>
      </c>
      <c r="K53" s="2" t="str">
        <f aca="false">IF(G53&gt;H53+0.03,"Reajustar precio / receta",IF(G53&lt;H53-0.08,"Margen alto","OK"))</f>
        <v>OK</v>
      </c>
    </row>
    <row r="54" customFormat="false" ht="15" hidden="false" customHeight="false" outlineLevel="0" collapsed="false">
      <c r="A54" s="2" t="s">
        <v>93</v>
      </c>
      <c r="B54" s="3" t="s">
        <v>94</v>
      </c>
      <c r="C54" s="2" t="s">
        <v>92</v>
      </c>
      <c r="D54" s="5" t="n">
        <v>4</v>
      </c>
      <c r="E54" s="6" t="n">
        <f aca="false">IF(Ajustes!$B$11=1,D54/(1+Ajustes!$B$12),D54)</f>
        <v>3.63636363636364</v>
      </c>
      <c r="F54" s="6" t="n">
        <f aca="false">SUMIF(Especificaciones!$A$5:$A$153,A54,Especificaciones!$G$5:$G$153)</f>
        <v>0.687254901960784</v>
      </c>
      <c r="G54" s="7" t="n">
        <f aca="false">IFERROR(F54/E54,0)</f>
        <v>0.188995098039216</v>
      </c>
      <c r="H54" s="8" t="n">
        <f aca="false">IFERROR(INDEX(Ajustes!$B$16:$B$22,MATCH(C54,Ajustes!$A$16:$A$22,0)),0.2)</f>
        <v>0.15</v>
      </c>
      <c r="I54" s="9" t="n">
        <f aca="false">E54-F54</f>
        <v>2.94910873440285</v>
      </c>
      <c r="J54" s="9" t="n">
        <f aca="false">IFERROR(CEILING(F54/H54*IF(Ajustes!$B$11=1,1+Ajustes!$B$12,1),0.5),0)</f>
        <v>5.5</v>
      </c>
      <c r="K54" s="2" t="str">
        <f aca="false">IF(G54&gt;H54+0.03,"Reajustar precio / receta",IF(G54&lt;H54-0.08,"Margen alto","OK"))</f>
        <v>Reajustar precio / receta</v>
      </c>
    </row>
    <row r="55" customFormat="false" ht="15" hidden="false" customHeight="false" outlineLevel="0" collapsed="false">
      <c r="A55" s="2" t="s">
        <v>95</v>
      </c>
      <c r="B55" s="3" t="s">
        <v>96</v>
      </c>
      <c r="C55" s="2" t="s">
        <v>92</v>
      </c>
      <c r="D55" s="5" t="n">
        <v>4</v>
      </c>
      <c r="E55" s="6" t="n">
        <f aca="false">IF(Ajustes!$B$11=1,D55/(1+Ajustes!$B$12),D55)</f>
        <v>3.63636363636364</v>
      </c>
      <c r="F55" s="6" t="n">
        <f aca="false">SUMIF(Especificaciones!$A$5:$A$153,A55,Especificaciones!$G$5:$G$153)</f>
        <v>0.36761932938856</v>
      </c>
      <c r="G55" s="7" t="n">
        <f aca="false">IFERROR(F55/E55,0)</f>
        <v>0.101095315581854</v>
      </c>
      <c r="H55" s="8" t="n">
        <f aca="false">IFERROR(INDEX(Ajustes!$B$16:$B$22,MATCH(C55,Ajustes!$A$16:$A$22,0)),0.2)</f>
        <v>0.15</v>
      </c>
      <c r="I55" s="9" t="n">
        <f aca="false">E55-F55</f>
        <v>3.26874430697508</v>
      </c>
      <c r="J55" s="9" t="n">
        <f aca="false">IFERROR(CEILING(F55/H55*IF(Ajustes!$B$11=1,1+Ajustes!$B$12,1),0.5),0)</f>
        <v>3</v>
      </c>
      <c r="K55" s="2" t="str">
        <f aca="false">IF(G55&gt;H55+0.03,"Reajustar precio / receta",IF(G55&lt;H55-0.08,"Margen alto","OK"))</f>
        <v>OK</v>
      </c>
    </row>
    <row r="56" customFormat="false" ht="15" hidden="false" customHeight="false" outlineLevel="0" collapsed="false">
      <c r="A56" s="2" t="s">
        <v>97</v>
      </c>
      <c r="B56" s="3" t="s">
        <v>98</v>
      </c>
      <c r="C56" s="2" t="s">
        <v>92</v>
      </c>
      <c r="D56" s="5" t="n">
        <v>3</v>
      </c>
      <c r="E56" s="6" t="n">
        <f aca="false">IF(Ajustes!$B$11=1,D56/(1+Ajustes!$B$12),D56)</f>
        <v>2.72727272727273</v>
      </c>
      <c r="F56" s="6" t="n">
        <f aca="false">SUMIF(Especificaciones!$A$5:$A$153,A56,Especificaciones!$G$5:$G$153)</f>
        <v>0.28</v>
      </c>
      <c r="G56" s="7" t="n">
        <f aca="false">IFERROR(F56/E56,0)</f>
        <v>0.102666666666667</v>
      </c>
      <c r="H56" s="8" t="n">
        <f aca="false">IFERROR(INDEX(Ajustes!$B$16:$B$22,MATCH(C56,Ajustes!$A$16:$A$22,0)),0.2)</f>
        <v>0.15</v>
      </c>
      <c r="I56" s="9" t="n">
        <f aca="false">E56-F56</f>
        <v>2.44727272727273</v>
      </c>
      <c r="J56" s="9" t="n">
        <f aca="false">IFERROR(CEILING(F56/H56*IF(Ajustes!$B$11=1,1+Ajustes!$B$12,1),0.5),0)</f>
        <v>2.5</v>
      </c>
      <c r="K56" s="2" t="str">
        <f aca="false">IF(G56&gt;H56+0.03,"Reajustar precio / receta",IF(G56&lt;H56-0.08,"Margen alto","OK"))</f>
        <v>OK</v>
      </c>
    </row>
    <row r="57" customFormat="false" ht="15" hidden="false" customHeight="false" outlineLevel="0" collapsed="false">
      <c r="A57" s="2" t="s">
        <v>99</v>
      </c>
      <c r="B57" s="3" t="s">
        <v>100</v>
      </c>
      <c r="C57" s="2" t="s">
        <v>92</v>
      </c>
      <c r="D57" s="5" t="n">
        <v>2.5</v>
      </c>
      <c r="E57" s="6" t="n">
        <f aca="false">IF(Ajustes!$B$11=1,D57/(1+Ajustes!$B$12),D57)</f>
        <v>2.27272727272727</v>
      </c>
      <c r="F57" s="6" t="n">
        <f aca="false">SUMIF(Especificaciones!$A$5:$A$153,A57,Especificaciones!$G$5:$G$153)</f>
        <v>0.583333333333333</v>
      </c>
      <c r="G57" s="7" t="n">
        <f aca="false">IFERROR(F57/E57,0)</f>
        <v>0.256666666666667</v>
      </c>
      <c r="H57" s="8" t="n">
        <f aca="false">IFERROR(INDEX(Ajustes!$B$16:$B$22,MATCH(C57,Ajustes!$A$16:$A$22,0)),0.2)</f>
        <v>0.15</v>
      </c>
      <c r="I57" s="9" t="n">
        <f aca="false">E57-F57</f>
        <v>1.68939393939394</v>
      </c>
      <c r="J57" s="9" t="n">
        <f aca="false">IFERROR(CEILING(F57/H57*IF(Ajustes!$B$11=1,1+Ajustes!$B$12,1),0.5),0)</f>
        <v>4.5</v>
      </c>
      <c r="K57" s="2" t="str">
        <f aca="false">IF(G57&gt;H57+0.03,"Reajustar precio / receta",IF(G57&lt;H57-0.08,"Margen alto","OK"))</f>
        <v>Reajustar precio / receta</v>
      </c>
    </row>
    <row r="58" customFormat="false" ht="15" hidden="false" customHeight="false" outlineLevel="0" collapsed="false">
      <c r="A58" s="2" t="s">
        <v>101</v>
      </c>
      <c r="B58" s="3" t="s">
        <v>102</v>
      </c>
      <c r="C58" s="2" t="s">
        <v>103</v>
      </c>
      <c r="D58" s="5" t="n">
        <v>2.5</v>
      </c>
      <c r="E58" s="6" t="n">
        <f aca="false">IF(Ajustes!$B$11=1,D58/(1+Ajustes!$B$12),D58)</f>
        <v>2.27272727272727</v>
      </c>
      <c r="F58" s="6" t="n">
        <f aca="false">SUMIF(Especificaciones!$A$5:$A$153,A58,Especificaciones!$G$5:$G$153)</f>
        <v>0.56</v>
      </c>
      <c r="G58" s="7" t="n">
        <f aca="false">IFERROR(F58/E58,0)</f>
        <v>0.2464</v>
      </c>
      <c r="H58" s="8" t="n">
        <f aca="false">IFERROR(INDEX(Ajustes!$B$16:$B$22,MATCH(C58,Ajustes!$A$16:$A$22,0)),0.2)</f>
        <v>0.15</v>
      </c>
      <c r="I58" s="9" t="n">
        <f aca="false">E58-F58</f>
        <v>1.71272727272727</v>
      </c>
      <c r="J58" s="9" t="n">
        <f aca="false">IFERROR(CEILING(F58/H58*IF(Ajustes!$B$11=1,1+Ajustes!$B$12,1),0.5),0)</f>
        <v>4.5</v>
      </c>
      <c r="K58" s="2" t="str">
        <f aca="false">IF(G58&gt;H58+0.03,"Reajustar precio / receta",IF(G58&lt;H58-0.08,"Margen alto","OK"))</f>
        <v>Reajustar precio / receta</v>
      </c>
    </row>
    <row r="59" customFormat="false" ht="15" hidden="false" customHeight="false" outlineLevel="0" collapsed="false">
      <c r="A59" s="2" t="s">
        <v>104</v>
      </c>
      <c r="B59" s="3" t="s">
        <v>104</v>
      </c>
      <c r="C59" s="2" t="s">
        <v>103</v>
      </c>
      <c r="D59" s="5" t="n">
        <v>7</v>
      </c>
      <c r="E59" s="6" t="n">
        <f aca="false">IF(Ajustes!$B$11=1,D59/(1+Ajustes!$B$12),D59)</f>
        <v>6.36363636363636</v>
      </c>
      <c r="F59" s="6" t="n">
        <f aca="false">SUMIF(Especificaciones!$A$5:$A$153,A59,Especificaciones!$G$5:$G$153)</f>
        <v>2.09785488958991</v>
      </c>
      <c r="G59" s="7" t="n">
        <f aca="false">IFERROR(F59/E59,0)</f>
        <v>0.329662911221271</v>
      </c>
      <c r="H59" s="8" t="n">
        <f aca="false">IFERROR(INDEX(Ajustes!$B$16:$B$22,MATCH(C59,Ajustes!$A$16:$A$22,0)),0.2)</f>
        <v>0.15</v>
      </c>
      <c r="I59" s="9" t="n">
        <f aca="false">E59-F59</f>
        <v>4.26578147404646</v>
      </c>
      <c r="J59" s="9" t="n">
        <f aca="false">IFERROR(CEILING(F59/H59*IF(Ajustes!$B$11=1,1+Ajustes!$B$12,1),0.5),0)</f>
        <v>15.5</v>
      </c>
      <c r="K59" s="2" t="str">
        <f aca="false">IF(G59&gt;H59+0.03,"Reajustar precio / receta",IF(G59&lt;H59-0.08,"Margen alto","OK"))</f>
        <v>Reajustar precio / receta</v>
      </c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customFormat="false" ht="15" hidden="false" customHeight="false" outlineLevel="0" collapsed="false">
      <c r="A61" s="10" t="s">
        <v>105</v>
      </c>
      <c r="B61" s="2"/>
      <c r="C61" s="2"/>
      <c r="D61" s="2"/>
      <c r="E61" s="2"/>
      <c r="F61" s="2"/>
      <c r="G61" s="2"/>
      <c r="H61" s="2"/>
      <c r="I61" s="2"/>
      <c r="J61" s="2"/>
      <c r="K61" s="2"/>
    </row>
    <row r="62" customFormat="false" ht="31.5" hidden="false" customHeight="true" outlineLevel="0" collapsed="false">
      <c r="A62" s="4" t="s">
        <v>4</v>
      </c>
      <c r="B62" s="4" t="s">
        <v>106</v>
      </c>
      <c r="C62" s="4"/>
      <c r="D62" s="4"/>
      <c r="E62" s="4"/>
      <c r="F62" s="4" t="s">
        <v>107</v>
      </c>
      <c r="G62" s="4" t="s">
        <v>108</v>
      </c>
      <c r="H62" s="4" t="s">
        <v>9</v>
      </c>
      <c r="I62" s="4" t="s">
        <v>109</v>
      </c>
      <c r="J62" s="2"/>
      <c r="K62" s="2"/>
    </row>
    <row r="63" customFormat="false" ht="15" hidden="false" customHeight="false" outlineLevel="0" collapsed="false">
      <c r="A63" s="10" t="s">
        <v>14</v>
      </c>
      <c r="B63" s="3" t="s">
        <v>110</v>
      </c>
      <c r="C63" s="2"/>
      <c r="D63" s="2"/>
      <c r="E63" s="2"/>
      <c r="F63" s="9" t="n">
        <f aca="false">IFERROR(AVERAGEIF($C$5:$C$59,A63,$F$5:$F$59),0)</f>
        <v>1.57216360713435</v>
      </c>
      <c r="G63" s="7" t="n">
        <f aca="false">IFERROR(AVERAGEIF($C$5:$C$59,A63,$G$5:$G$59),0)</f>
        <v>0.211597636463055</v>
      </c>
      <c r="H63" s="8" t="n">
        <f aca="false">IFERROR(INDEX(Ajustes!$B$16:$B$22,MATCH(A63,Ajustes!$A$16:$A$22,0)),0)</f>
        <v>0.2</v>
      </c>
      <c r="I63" s="9" t="n">
        <f aca="false">IFERROR(AVERAGEIF($C$5:$C$59,A63,$I$5:$I$59),0)</f>
        <v>5.81420002922929</v>
      </c>
      <c r="J63" s="2"/>
      <c r="K63" s="2"/>
    </row>
    <row r="64" customFormat="false" ht="15" hidden="false" customHeight="false" outlineLevel="0" collapsed="false">
      <c r="A64" s="10" t="s">
        <v>24</v>
      </c>
      <c r="B64" s="3" t="s">
        <v>111</v>
      </c>
      <c r="C64" s="2"/>
      <c r="D64" s="2"/>
      <c r="E64" s="2"/>
      <c r="F64" s="9" t="n">
        <f aca="false">IFERROR(AVERAGEIF($C$5:$C$59,A64,$F$5:$F$59),0)</f>
        <v>1.43618435274893</v>
      </c>
      <c r="G64" s="7" t="n">
        <f aca="false">IFERROR(AVERAGEIF($C$5:$C$59,A64,$G$5:$G$59),0)</f>
        <v>0.20892057464059</v>
      </c>
      <c r="H64" s="8" t="n">
        <f aca="false">IFERROR(INDEX(Ajustes!$B$16:$B$22,MATCH(A64,Ajustes!$A$16:$A$22,0)),0)</f>
        <v>0.2</v>
      </c>
      <c r="I64" s="9" t="n">
        <f aca="false">IFERROR(AVERAGEIF($C$5:$C$59,A64,$I$5:$I$59),0)</f>
        <v>5.38199746543289</v>
      </c>
      <c r="J64" s="2"/>
      <c r="K64" s="2"/>
    </row>
    <row r="65" customFormat="false" ht="15" hidden="false" customHeight="false" outlineLevel="0" collapsed="false">
      <c r="A65" s="10" t="s">
        <v>48</v>
      </c>
      <c r="B65" s="3" t="s">
        <v>112</v>
      </c>
      <c r="C65" s="2"/>
      <c r="D65" s="2"/>
      <c r="E65" s="2"/>
      <c r="F65" s="9" t="n">
        <f aca="false">IFERROR(AVERAGEIF($C$5:$C$59,A65,$F$5:$F$59),0)</f>
        <v>1.88266666666667</v>
      </c>
      <c r="G65" s="7" t="n">
        <f aca="false">IFERROR(AVERAGEIF($C$5:$C$59,A65,$G$5:$G$59),0)</f>
        <v>0.336998005698006</v>
      </c>
      <c r="H65" s="8" t="n">
        <f aca="false">IFERROR(INDEX(Ajustes!$B$16:$B$22,MATCH(A65,Ajustes!$A$16:$A$22,0)),0)</f>
        <v>0.3</v>
      </c>
      <c r="I65" s="9" t="n">
        <f aca="false">IFERROR(AVERAGEIF($C$5:$C$59,A65,$I$5:$I$59),0)</f>
        <v>3.29915151515151</v>
      </c>
      <c r="J65" s="2"/>
      <c r="K65" s="2"/>
    </row>
    <row r="66" customFormat="false" ht="15" hidden="false" customHeight="false" outlineLevel="0" collapsed="false">
      <c r="A66" s="10" t="s">
        <v>59</v>
      </c>
      <c r="B66" s="3" t="s">
        <v>113</v>
      </c>
      <c r="C66" s="2"/>
      <c r="D66" s="2"/>
      <c r="E66" s="2"/>
      <c r="F66" s="9" t="n">
        <f aca="false">IFERROR(AVERAGEIF($C$5:$C$59,A66,$F$5:$F$59),0)</f>
        <v>5.39804220873359</v>
      </c>
      <c r="G66" s="7" t="n">
        <f aca="false">IFERROR(AVERAGEIF($C$5:$C$59,A66,$G$5:$G$59),0)</f>
        <v>0.337550356585096</v>
      </c>
      <c r="H66" s="8" t="n">
        <f aca="false">IFERROR(INDEX(Ajustes!$B$16:$B$22,MATCH(A66,Ajustes!$A$16:$A$22,0)),0)</f>
        <v>0.3</v>
      </c>
      <c r="I66" s="9" t="n">
        <f aca="false">IFERROR(AVERAGEIF($C$5:$C$59,A66,$I$5:$I$59),0)</f>
        <v>9.56063547721682</v>
      </c>
      <c r="J66" s="2"/>
      <c r="K66" s="2"/>
    </row>
    <row r="67" customFormat="false" ht="15" hidden="false" customHeight="false" outlineLevel="0" collapsed="false">
      <c r="A67" s="10" t="s">
        <v>82</v>
      </c>
      <c r="B67" s="3" t="s">
        <v>114</v>
      </c>
      <c r="C67" s="2"/>
      <c r="D67" s="2"/>
      <c r="E67" s="2"/>
      <c r="F67" s="9" t="n">
        <f aca="false">IFERROR(AVERAGEIF($C$5:$C$59,A67,$F$5:$F$59),0)</f>
        <v>1.36311038209546</v>
      </c>
      <c r="G67" s="7" t="n">
        <f aca="false">IFERROR(AVERAGEIF($C$5:$C$59,A67,$G$5:$G$59),0)</f>
        <v>0.238903325919106</v>
      </c>
      <c r="H67" s="8" t="n">
        <f aca="false">IFERROR(INDEX(Ajustes!$B$16:$B$22,MATCH(A67,Ajustes!$A$16:$A$22,0)),0)</f>
        <v>0.18</v>
      </c>
      <c r="I67" s="9" t="n">
        <f aca="false">IFERROR(AVERAGEIF($C$5:$C$59,A67,$I$5:$I$59),0)</f>
        <v>4.09143507245</v>
      </c>
      <c r="J67" s="2"/>
      <c r="K67" s="2"/>
    </row>
    <row r="68" customFormat="false" ht="15" hidden="false" customHeight="false" outlineLevel="0" collapsed="false">
      <c r="A68" s="10" t="s">
        <v>92</v>
      </c>
      <c r="B68" s="3" t="s">
        <v>115</v>
      </c>
      <c r="C68" s="2"/>
      <c r="D68" s="2"/>
      <c r="E68" s="2"/>
      <c r="F68" s="9" t="n">
        <f aca="false">IFERROR(AVERAGEIF($C$5:$C$59,A68,$F$5:$F$59),0)</f>
        <v>0.445209128814248</v>
      </c>
      <c r="G68" s="7" t="n">
        <f aca="false">IFERROR(AVERAGEIF($C$5:$C$59,A68,$G$5:$G$59),0)</f>
        <v>0.146815843757251</v>
      </c>
      <c r="H68" s="8" t="n">
        <f aca="false">IFERROR(INDEX(Ajustes!$B$16:$B$22,MATCH(A68,Ajustes!$A$16:$A$22,0)),0)</f>
        <v>0.15</v>
      </c>
      <c r="I68" s="9" t="n">
        <f aca="false">IFERROR(AVERAGEIF($C$5:$C$59,A68,$I$5:$I$59),0)</f>
        <v>2.73660905300393</v>
      </c>
      <c r="J68" s="2"/>
      <c r="K68" s="2"/>
    </row>
    <row r="69" customFormat="false" ht="15" hidden="false" customHeight="false" outlineLevel="0" collapsed="false">
      <c r="A69" s="10" t="s">
        <v>103</v>
      </c>
      <c r="B69" s="3" t="s">
        <v>116</v>
      </c>
      <c r="C69" s="2"/>
      <c r="D69" s="2"/>
      <c r="E69" s="2"/>
      <c r="F69" s="9" t="n">
        <f aca="false">IFERROR(AVERAGEIF($C$5:$C$59,A69,$F$5:$F$59),0)</f>
        <v>1.32892744479495</v>
      </c>
      <c r="G69" s="7" t="n">
        <f aca="false">IFERROR(AVERAGEIF($C$5:$C$59,A69,$G$5:$G$59),0)</f>
        <v>0.288031455610636</v>
      </c>
      <c r="H69" s="8" t="n">
        <f aca="false">IFERROR(INDEX(Ajustes!$B$16:$B$22,MATCH(A69,Ajustes!$A$16:$A$22,0)),0)</f>
        <v>0.15</v>
      </c>
      <c r="I69" s="9" t="n">
        <f aca="false">IFERROR(AVERAGEIF($C$5:$C$59,A69,$I$5:$I$59),0)</f>
        <v>2.98925437338687</v>
      </c>
      <c r="J69" s="2"/>
      <c r="K69" s="2"/>
    </row>
    <row r="70" customFormat="false" ht="1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customFormat="false" ht="15" hidden="false" customHeight="false" outlineLevel="0" collapsed="false">
      <c r="A71" s="3" t="s">
        <v>117</v>
      </c>
      <c r="B71" s="2"/>
      <c r="C71" s="2"/>
      <c r="D71" s="2"/>
      <c r="E71" s="2"/>
      <c r="F71" s="2"/>
      <c r="G71" s="2"/>
      <c r="H71" s="2"/>
      <c r="I71" s="2"/>
      <c r="J71" s="2"/>
      <c r="K71" s="2"/>
    </row>
  </sheetData>
  <conditionalFormatting sqref="K5:K59">
    <cfRule type="cellIs" priority="2" operator="equal" aboveAverage="0" equalAverage="0" bottom="0" percent="0" rank="0" text="" dxfId="0">
      <formula>"Reajustar precio / receta"</formula>
    </cfRule>
    <cfRule type="cellIs" priority="3" operator="equal" aboveAverage="0" equalAverage="0" bottom="0" percent="0" rank="0" text="" dxfId="1">
      <formula>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6" min="6" style="0" width="40"/>
    <col collapsed="false" customWidth="true" hidden="false" outlineLevel="0" max="7" min="7" style="0" width="46"/>
    <col collapsed="false" customWidth="true" hidden="false" outlineLevel="0" max="8" min="8" style="0" width="40"/>
    <col collapsed="false" customWidth="true" hidden="false" outlineLevel="0" max="9" min="9" style="0" width="22"/>
  </cols>
  <sheetData>
    <row r="1" customFormat="false" ht="17.35" hidden="false" customHeight="false" outlineLevel="0" collapsed="false">
      <c r="A1" s="1" t="s">
        <v>118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 t="s">
        <v>119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31.5" hidden="false" customHeight="true" outlineLevel="0" collapsed="false">
      <c r="A4" s="4" t="s">
        <v>120</v>
      </c>
      <c r="B4" s="4" t="s">
        <v>121</v>
      </c>
      <c r="C4" s="4" t="s">
        <v>4</v>
      </c>
      <c r="D4" s="4" t="s">
        <v>122</v>
      </c>
      <c r="E4" s="4" t="s">
        <v>123</v>
      </c>
      <c r="F4" s="4" t="s">
        <v>124</v>
      </c>
      <c r="G4" s="4" t="s">
        <v>125</v>
      </c>
      <c r="H4" s="4" t="s">
        <v>126</v>
      </c>
      <c r="I4" s="4" t="s">
        <v>127</v>
      </c>
    </row>
    <row r="5" customFormat="false" ht="52.2" hidden="false" customHeight="false" outlineLevel="0" collapsed="false">
      <c r="A5" s="11" t="s">
        <v>13</v>
      </c>
      <c r="B5" s="12" t="s">
        <v>13</v>
      </c>
      <c r="C5" s="13" t="s">
        <v>14</v>
      </c>
      <c r="D5" s="13" t="s">
        <v>128</v>
      </c>
      <c r="E5" s="13" t="s">
        <v>129</v>
      </c>
      <c r="F5" s="13" t="s">
        <v>130</v>
      </c>
      <c r="G5" s="13" t="s">
        <v>131</v>
      </c>
      <c r="H5" s="12" t="s">
        <v>132</v>
      </c>
      <c r="I5" s="13" t="s">
        <v>133</v>
      </c>
    </row>
    <row r="6" customFormat="false" ht="77.6" hidden="false" customHeight="false" outlineLevel="0" collapsed="false">
      <c r="A6" s="11" t="s">
        <v>15</v>
      </c>
      <c r="B6" s="12" t="s">
        <v>15</v>
      </c>
      <c r="C6" s="13" t="s">
        <v>14</v>
      </c>
      <c r="D6" s="13" t="s">
        <v>134</v>
      </c>
      <c r="E6" s="13" t="s">
        <v>129</v>
      </c>
      <c r="F6" s="13" t="s">
        <v>135</v>
      </c>
      <c r="G6" s="13" t="s">
        <v>136</v>
      </c>
      <c r="H6" s="12" t="s">
        <v>137</v>
      </c>
      <c r="I6" s="13" t="s">
        <v>138</v>
      </c>
    </row>
    <row r="7" customFormat="false" ht="77.6" hidden="false" customHeight="false" outlineLevel="0" collapsed="false">
      <c r="A7" s="11" t="s">
        <v>16</v>
      </c>
      <c r="B7" s="12" t="s">
        <v>16</v>
      </c>
      <c r="C7" s="13" t="s">
        <v>14</v>
      </c>
      <c r="D7" s="13" t="s">
        <v>139</v>
      </c>
      <c r="E7" s="13" t="s">
        <v>140</v>
      </c>
      <c r="F7" s="13" t="s">
        <v>141</v>
      </c>
      <c r="G7" s="13" t="s">
        <v>142</v>
      </c>
      <c r="H7" s="12" t="s">
        <v>143</v>
      </c>
      <c r="I7" s="13" t="s">
        <v>144</v>
      </c>
    </row>
    <row r="8" customFormat="false" ht="52.2" hidden="false" customHeight="false" outlineLevel="0" collapsed="false">
      <c r="A8" s="11" t="s">
        <v>17</v>
      </c>
      <c r="B8" s="12" t="s">
        <v>17</v>
      </c>
      <c r="C8" s="13" t="s">
        <v>14</v>
      </c>
      <c r="D8" s="13" t="s">
        <v>139</v>
      </c>
      <c r="E8" s="13" t="s">
        <v>129</v>
      </c>
      <c r="F8" s="13" t="s">
        <v>145</v>
      </c>
      <c r="G8" s="13" t="s">
        <v>146</v>
      </c>
      <c r="H8" s="12" t="s">
        <v>147</v>
      </c>
      <c r="I8" s="13" t="s">
        <v>148</v>
      </c>
    </row>
    <row r="9" customFormat="false" ht="52.2" hidden="false" customHeight="false" outlineLevel="0" collapsed="false">
      <c r="A9" s="11" t="s">
        <v>18</v>
      </c>
      <c r="B9" s="12" t="s">
        <v>18</v>
      </c>
      <c r="C9" s="13" t="s">
        <v>14</v>
      </c>
      <c r="D9" s="13" t="s">
        <v>149</v>
      </c>
      <c r="E9" s="13" t="s">
        <v>129</v>
      </c>
      <c r="F9" s="13" t="s">
        <v>150</v>
      </c>
      <c r="G9" s="13" t="s">
        <v>151</v>
      </c>
      <c r="H9" s="12" t="s">
        <v>152</v>
      </c>
      <c r="I9" s="13" t="s">
        <v>153</v>
      </c>
    </row>
    <row r="10" customFormat="false" ht="64.9" hidden="false" customHeight="false" outlineLevel="0" collapsed="false">
      <c r="A10" s="11" t="s">
        <v>19</v>
      </c>
      <c r="B10" s="12" t="s">
        <v>19</v>
      </c>
      <c r="C10" s="13" t="s">
        <v>14</v>
      </c>
      <c r="D10" s="13" t="s">
        <v>154</v>
      </c>
      <c r="E10" s="13" t="s">
        <v>140</v>
      </c>
      <c r="F10" s="13" t="s">
        <v>155</v>
      </c>
      <c r="G10" s="13" t="s">
        <v>156</v>
      </c>
      <c r="H10" s="12" t="s">
        <v>157</v>
      </c>
      <c r="I10" s="13" t="s">
        <v>158</v>
      </c>
    </row>
    <row r="11" customFormat="false" ht="52.2" hidden="false" customHeight="false" outlineLevel="0" collapsed="false">
      <c r="A11" s="11" t="s">
        <v>20</v>
      </c>
      <c r="B11" s="12" t="s">
        <v>20</v>
      </c>
      <c r="C11" s="13" t="s">
        <v>14</v>
      </c>
      <c r="D11" s="13" t="s">
        <v>159</v>
      </c>
      <c r="E11" s="13" t="s">
        <v>160</v>
      </c>
      <c r="F11" s="13" t="s">
        <v>161</v>
      </c>
      <c r="G11" s="13" t="s">
        <v>162</v>
      </c>
      <c r="H11" s="12" t="s">
        <v>163</v>
      </c>
      <c r="I11" s="13" t="s">
        <v>164</v>
      </c>
    </row>
    <row r="12" customFormat="false" ht="52.2" hidden="false" customHeight="false" outlineLevel="0" collapsed="false">
      <c r="A12" s="11" t="s">
        <v>21</v>
      </c>
      <c r="B12" s="12" t="s">
        <v>21</v>
      </c>
      <c r="C12" s="13" t="s">
        <v>14</v>
      </c>
      <c r="D12" s="13" t="s">
        <v>165</v>
      </c>
      <c r="E12" s="13" t="s">
        <v>166</v>
      </c>
      <c r="F12" s="13" t="s">
        <v>167</v>
      </c>
      <c r="G12" s="13" t="s">
        <v>168</v>
      </c>
      <c r="H12" s="12" t="s">
        <v>169</v>
      </c>
      <c r="I12" s="13" t="s">
        <v>170</v>
      </c>
    </row>
    <row r="13" customFormat="false" ht="64.9" hidden="false" customHeight="false" outlineLevel="0" collapsed="false">
      <c r="A13" s="11" t="s">
        <v>22</v>
      </c>
      <c r="B13" s="12" t="s">
        <v>23</v>
      </c>
      <c r="C13" s="13" t="s">
        <v>24</v>
      </c>
      <c r="D13" s="13" t="s">
        <v>171</v>
      </c>
      <c r="E13" s="13" t="s">
        <v>129</v>
      </c>
      <c r="F13" s="13" t="s">
        <v>172</v>
      </c>
      <c r="G13" s="13" t="s">
        <v>173</v>
      </c>
      <c r="H13" s="12" t="s">
        <v>174</v>
      </c>
      <c r="I13" s="13" t="s">
        <v>148</v>
      </c>
    </row>
    <row r="14" customFormat="false" ht="77.6" hidden="false" customHeight="false" outlineLevel="0" collapsed="false">
      <c r="A14" s="11" t="s">
        <v>25</v>
      </c>
      <c r="B14" s="12" t="s">
        <v>26</v>
      </c>
      <c r="C14" s="13" t="s">
        <v>24</v>
      </c>
      <c r="D14" s="13" t="s">
        <v>171</v>
      </c>
      <c r="E14" s="13" t="s">
        <v>129</v>
      </c>
      <c r="F14" s="13" t="s">
        <v>175</v>
      </c>
      <c r="G14" s="13" t="s">
        <v>176</v>
      </c>
      <c r="H14" s="12" t="s">
        <v>177</v>
      </c>
      <c r="I14" s="13" t="s">
        <v>178</v>
      </c>
    </row>
    <row r="15" customFormat="false" ht="64.9" hidden="false" customHeight="false" outlineLevel="0" collapsed="false">
      <c r="A15" s="11" t="s">
        <v>27</v>
      </c>
      <c r="B15" s="12" t="s">
        <v>28</v>
      </c>
      <c r="C15" s="13" t="s">
        <v>24</v>
      </c>
      <c r="D15" s="13" t="s">
        <v>171</v>
      </c>
      <c r="E15" s="13" t="s">
        <v>129</v>
      </c>
      <c r="F15" s="13" t="s">
        <v>179</v>
      </c>
      <c r="G15" s="13" t="s">
        <v>180</v>
      </c>
      <c r="H15" s="12" t="s">
        <v>181</v>
      </c>
      <c r="I15" s="13" t="s">
        <v>182</v>
      </c>
    </row>
    <row r="16" customFormat="false" ht="64.9" hidden="false" customHeight="false" outlineLevel="0" collapsed="false">
      <c r="A16" s="11" t="s">
        <v>29</v>
      </c>
      <c r="B16" s="12" t="s">
        <v>30</v>
      </c>
      <c r="C16" s="13" t="s">
        <v>24</v>
      </c>
      <c r="D16" s="13" t="s">
        <v>139</v>
      </c>
      <c r="E16" s="13" t="s">
        <v>140</v>
      </c>
      <c r="F16" s="13" t="s">
        <v>183</v>
      </c>
      <c r="G16" s="13" t="s">
        <v>184</v>
      </c>
      <c r="H16" s="12" t="s">
        <v>185</v>
      </c>
      <c r="I16" s="13" t="s">
        <v>144</v>
      </c>
    </row>
    <row r="17" customFormat="false" ht="77.6" hidden="false" customHeight="false" outlineLevel="0" collapsed="false">
      <c r="A17" s="11" t="s">
        <v>31</v>
      </c>
      <c r="B17" s="12" t="s">
        <v>32</v>
      </c>
      <c r="C17" s="13" t="s">
        <v>24</v>
      </c>
      <c r="D17" s="13" t="s">
        <v>139</v>
      </c>
      <c r="E17" s="13" t="s">
        <v>140</v>
      </c>
      <c r="F17" s="13" t="s">
        <v>186</v>
      </c>
      <c r="G17" s="13" t="s">
        <v>187</v>
      </c>
      <c r="H17" s="12" t="s">
        <v>188</v>
      </c>
      <c r="I17" s="13" t="s">
        <v>144</v>
      </c>
    </row>
    <row r="18" customFormat="false" ht="64.9" hidden="false" customHeight="false" outlineLevel="0" collapsed="false">
      <c r="A18" s="11" t="s">
        <v>33</v>
      </c>
      <c r="B18" s="12" t="s">
        <v>33</v>
      </c>
      <c r="C18" s="13" t="s">
        <v>24</v>
      </c>
      <c r="D18" s="13" t="s">
        <v>154</v>
      </c>
      <c r="E18" s="13" t="s">
        <v>166</v>
      </c>
      <c r="F18" s="13" t="s">
        <v>189</v>
      </c>
      <c r="G18" s="13" t="s">
        <v>190</v>
      </c>
      <c r="H18" s="12" t="s">
        <v>191</v>
      </c>
      <c r="I18" s="13" t="s">
        <v>192</v>
      </c>
    </row>
    <row r="19" customFormat="false" ht="64.9" hidden="false" customHeight="false" outlineLevel="0" collapsed="false">
      <c r="A19" s="11" t="s">
        <v>34</v>
      </c>
      <c r="B19" s="12" t="s">
        <v>34</v>
      </c>
      <c r="C19" s="13" t="s">
        <v>24</v>
      </c>
      <c r="D19" s="13" t="s">
        <v>193</v>
      </c>
      <c r="E19" s="13" t="s">
        <v>194</v>
      </c>
      <c r="F19" s="13" t="s">
        <v>195</v>
      </c>
      <c r="G19" s="13" t="s">
        <v>196</v>
      </c>
      <c r="H19" s="12" t="s">
        <v>197</v>
      </c>
      <c r="I19" s="13" t="s">
        <v>198</v>
      </c>
    </row>
    <row r="20" customFormat="false" ht="64.9" hidden="false" customHeight="false" outlineLevel="0" collapsed="false">
      <c r="A20" s="11" t="s">
        <v>35</v>
      </c>
      <c r="B20" s="12" t="s">
        <v>35</v>
      </c>
      <c r="C20" s="13" t="s">
        <v>24</v>
      </c>
      <c r="D20" s="13" t="s">
        <v>193</v>
      </c>
      <c r="E20" s="13" t="s">
        <v>194</v>
      </c>
      <c r="F20" s="13" t="s">
        <v>199</v>
      </c>
      <c r="G20" s="13" t="s">
        <v>200</v>
      </c>
      <c r="H20" s="12" t="s">
        <v>201</v>
      </c>
      <c r="I20" s="13" t="s">
        <v>202</v>
      </c>
    </row>
    <row r="21" customFormat="false" ht="39.55" hidden="false" customHeight="false" outlineLevel="0" collapsed="false">
      <c r="A21" s="11" t="s">
        <v>36</v>
      </c>
      <c r="B21" s="12" t="s">
        <v>36</v>
      </c>
      <c r="C21" s="13" t="s">
        <v>24</v>
      </c>
      <c r="D21" s="13" t="s">
        <v>154</v>
      </c>
      <c r="E21" s="13" t="s">
        <v>140</v>
      </c>
      <c r="F21" s="13" t="s">
        <v>203</v>
      </c>
      <c r="G21" s="13" t="s">
        <v>204</v>
      </c>
      <c r="H21" s="12" t="s">
        <v>205</v>
      </c>
      <c r="I21" s="13" t="s">
        <v>206</v>
      </c>
    </row>
    <row r="22" customFormat="false" ht="39.55" hidden="false" customHeight="false" outlineLevel="0" collapsed="false">
      <c r="A22" s="11" t="s">
        <v>37</v>
      </c>
      <c r="B22" s="12" t="s">
        <v>37</v>
      </c>
      <c r="C22" s="13" t="s">
        <v>24</v>
      </c>
      <c r="D22" s="13" t="s">
        <v>154</v>
      </c>
      <c r="E22" s="13" t="s">
        <v>140</v>
      </c>
      <c r="F22" s="13" t="s">
        <v>207</v>
      </c>
      <c r="G22" s="13" t="s">
        <v>208</v>
      </c>
      <c r="H22" s="12" t="s">
        <v>209</v>
      </c>
      <c r="I22" s="13" t="s">
        <v>206</v>
      </c>
    </row>
    <row r="23" customFormat="false" ht="39.55" hidden="false" customHeight="false" outlineLevel="0" collapsed="false">
      <c r="A23" s="11" t="s">
        <v>38</v>
      </c>
      <c r="B23" s="12" t="s">
        <v>39</v>
      </c>
      <c r="C23" s="13" t="s">
        <v>24</v>
      </c>
      <c r="D23" s="13" t="s">
        <v>210</v>
      </c>
      <c r="E23" s="13" t="s">
        <v>194</v>
      </c>
      <c r="F23" s="13" t="s">
        <v>211</v>
      </c>
      <c r="G23" s="13" t="s">
        <v>212</v>
      </c>
      <c r="H23" s="12" t="s">
        <v>213</v>
      </c>
      <c r="I23" s="13" t="s">
        <v>148</v>
      </c>
    </row>
    <row r="24" customFormat="false" ht="52.2" hidden="false" customHeight="false" outlineLevel="0" collapsed="false">
      <c r="A24" s="11" t="s">
        <v>40</v>
      </c>
      <c r="B24" s="12" t="s">
        <v>40</v>
      </c>
      <c r="C24" s="13" t="s">
        <v>24</v>
      </c>
      <c r="D24" s="13" t="s">
        <v>149</v>
      </c>
      <c r="E24" s="13" t="s">
        <v>129</v>
      </c>
      <c r="F24" s="13" t="s">
        <v>214</v>
      </c>
      <c r="G24" s="13" t="s">
        <v>215</v>
      </c>
      <c r="H24" s="12" t="s">
        <v>216</v>
      </c>
      <c r="I24" s="13" t="s">
        <v>170</v>
      </c>
    </row>
    <row r="25" customFormat="false" ht="39.55" hidden="false" customHeight="false" outlineLevel="0" collapsed="false">
      <c r="A25" s="11" t="s">
        <v>41</v>
      </c>
      <c r="B25" s="12" t="s">
        <v>41</v>
      </c>
      <c r="C25" s="13" t="s">
        <v>24</v>
      </c>
      <c r="D25" s="13" t="s">
        <v>139</v>
      </c>
      <c r="E25" s="13" t="s">
        <v>129</v>
      </c>
      <c r="F25" s="13" t="s">
        <v>217</v>
      </c>
      <c r="G25" s="13" t="s">
        <v>218</v>
      </c>
      <c r="H25" s="12" t="s">
        <v>219</v>
      </c>
      <c r="I25" s="13" t="s">
        <v>133</v>
      </c>
    </row>
    <row r="26" customFormat="false" ht="52.2" hidden="false" customHeight="false" outlineLevel="0" collapsed="false">
      <c r="A26" s="11" t="s">
        <v>42</v>
      </c>
      <c r="B26" s="12" t="s">
        <v>42</v>
      </c>
      <c r="C26" s="13" t="s">
        <v>24</v>
      </c>
      <c r="D26" s="13" t="s">
        <v>154</v>
      </c>
      <c r="E26" s="13" t="s">
        <v>166</v>
      </c>
      <c r="F26" s="13" t="s">
        <v>220</v>
      </c>
      <c r="G26" s="13" t="s">
        <v>221</v>
      </c>
      <c r="H26" s="12" t="s">
        <v>222</v>
      </c>
      <c r="I26" s="13" t="s">
        <v>202</v>
      </c>
    </row>
    <row r="27" customFormat="false" ht="39.55" hidden="false" customHeight="false" outlineLevel="0" collapsed="false">
      <c r="A27" s="11" t="s">
        <v>43</v>
      </c>
      <c r="B27" s="12" t="s">
        <v>44</v>
      </c>
      <c r="C27" s="13" t="s">
        <v>24</v>
      </c>
      <c r="D27" s="13" t="s">
        <v>223</v>
      </c>
      <c r="E27" s="13" t="s">
        <v>129</v>
      </c>
      <c r="F27" s="13" t="s">
        <v>224</v>
      </c>
      <c r="G27" s="13" t="s">
        <v>225</v>
      </c>
      <c r="H27" s="12" t="s">
        <v>226</v>
      </c>
      <c r="I27" s="13" t="s">
        <v>148</v>
      </c>
    </row>
    <row r="28" customFormat="false" ht="52.2" hidden="false" customHeight="false" outlineLevel="0" collapsed="false">
      <c r="A28" s="11" t="s">
        <v>45</v>
      </c>
      <c r="B28" s="12" t="s">
        <v>45</v>
      </c>
      <c r="C28" s="13" t="s">
        <v>24</v>
      </c>
      <c r="D28" s="13" t="s">
        <v>227</v>
      </c>
      <c r="E28" s="13" t="s">
        <v>129</v>
      </c>
      <c r="F28" s="13" t="s">
        <v>228</v>
      </c>
      <c r="G28" s="13" t="s">
        <v>229</v>
      </c>
      <c r="H28" s="12" t="s">
        <v>230</v>
      </c>
      <c r="I28" s="13" t="s">
        <v>133</v>
      </c>
    </row>
    <row r="29" customFormat="false" ht="52.2" hidden="false" customHeight="false" outlineLevel="0" collapsed="false">
      <c r="A29" s="11" t="s">
        <v>78</v>
      </c>
      <c r="B29" s="12" t="s">
        <v>79</v>
      </c>
      <c r="C29" s="13" t="s">
        <v>59</v>
      </c>
      <c r="D29" s="13" t="s">
        <v>149</v>
      </c>
      <c r="E29" s="13" t="s">
        <v>129</v>
      </c>
      <c r="F29" s="13" t="s">
        <v>231</v>
      </c>
      <c r="G29" s="13" t="s">
        <v>232</v>
      </c>
      <c r="H29" s="12" t="s">
        <v>233</v>
      </c>
      <c r="I29" s="13" t="s">
        <v>234</v>
      </c>
    </row>
    <row r="30" customFormat="false" ht="39.55" hidden="false" customHeight="false" outlineLevel="0" collapsed="false">
      <c r="A30" s="11" t="s">
        <v>91</v>
      </c>
      <c r="B30" s="12" t="s">
        <v>91</v>
      </c>
      <c r="C30" s="13" t="s">
        <v>92</v>
      </c>
      <c r="D30" s="13" t="s">
        <v>139</v>
      </c>
      <c r="E30" s="13" t="s">
        <v>129</v>
      </c>
      <c r="F30" s="13" t="s">
        <v>235</v>
      </c>
      <c r="G30" s="13" t="s">
        <v>236</v>
      </c>
      <c r="H30" s="12" t="s">
        <v>237</v>
      </c>
      <c r="I30" s="13" t="s">
        <v>148</v>
      </c>
    </row>
    <row r="31" customFormat="false" ht="39.55" hidden="false" customHeight="false" outlineLevel="0" collapsed="false">
      <c r="A31" s="11" t="s">
        <v>93</v>
      </c>
      <c r="B31" s="12" t="s">
        <v>94</v>
      </c>
      <c r="C31" s="13" t="s">
        <v>92</v>
      </c>
      <c r="D31" s="13" t="s">
        <v>238</v>
      </c>
      <c r="E31" s="13" t="s">
        <v>129</v>
      </c>
      <c r="F31" s="13" t="s">
        <v>239</v>
      </c>
      <c r="G31" s="13" t="s">
        <v>240</v>
      </c>
      <c r="H31" s="12" t="s">
        <v>241</v>
      </c>
      <c r="I31" s="13" t="s">
        <v>242</v>
      </c>
    </row>
    <row r="32" customFormat="false" ht="39.55" hidden="false" customHeight="false" outlineLevel="0" collapsed="false">
      <c r="A32" s="11" t="s">
        <v>95</v>
      </c>
      <c r="B32" s="12" t="s">
        <v>96</v>
      </c>
      <c r="C32" s="13" t="s">
        <v>92</v>
      </c>
      <c r="D32" s="13" t="s">
        <v>139</v>
      </c>
      <c r="E32" s="13" t="s">
        <v>129</v>
      </c>
      <c r="F32" s="13" t="s">
        <v>243</v>
      </c>
      <c r="G32" s="13" t="s">
        <v>244</v>
      </c>
      <c r="H32" s="12" t="s">
        <v>245</v>
      </c>
      <c r="I32" s="13" t="s">
        <v>148</v>
      </c>
    </row>
    <row r="33" customFormat="false" ht="15" hidden="false" customHeight="false" outlineLevel="0" collapsed="false">
      <c r="A33" s="11" t="s">
        <v>97</v>
      </c>
      <c r="B33" s="12" t="s">
        <v>98</v>
      </c>
      <c r="C33" s="13" t="s">
        <v>92</v>
      </c>
      <c r="D33" s="13" t="s">
        <v>139</v>
      </c>
      <c r="E33" s="13" t="s">
        <v>129</v>
      </c>
      <c r="F33" s="13" t="s">
        <v>246</v>
      </c>
      <c r="G33" s="13" t="s">
        <v>247</v>
      </c>
      <c r="H33" s="12" t="s">
        <v>248</v>
      </c>
      <c r="I33" s="13" t="s">
        <v>249</v>
      </c>
    </row>
    <row r="34" customFormat="false" ht="15" hidden="false" customHeight="false" outlineLevel="0" collapsed="false">
      <c r="A34" s="11" t="s">
        <v>99</v>
      </c>
      <c r="B34" s="12" t="s">
        <v>100</v>
      </c>
      <c r="C34" s="13" t="s">
        <v>92</v>
      </c>
      <c r="D34" s="13" t="s">
        <v>139</v>
      </c>
      <c r="E34" s="13" t="s">
        <v>129</v>
      </c>
      <c r="F34" s="13" t="s">
        <v>250</v>
      </c>
      <c r="G34" s="13" t="s">
        <v>251</v>
      </c>
      <c r="H34" s="12" t="s">
        <v>252</v>
      </c>
      <c r="I34" s="13" t="s">
        <v>206</v>
      </c>
    </row>
    <row r="35" customFormat="false" ht="15" hidden="false" customHeight="false" outlineLevel="0" collapsed="false">
      <c r="A35" s="11" t="s">
        <v>101</v>
      </c>
      <c r="B35" s="12" t="s">
        <v>102</v>
      </c>
      <c r="C35" s="13" t="s">
        <v>103</v>
      </c>
      <c r="D35" s="13" t="s">
        <v>253</v>
      </c>
      <c r="E35" s="13" t="s">
        <v>206</v>
      </c>
      <c r="F35" s="13" t="s">
        <v>254</v>
      </c>
      <c r="G35" s="13" t="s">
        <v>255</v>
      </c>
      <c r="H35" s="12" t="s">
        <v>256</v>
      </c>
      <c r="I35" s="13" t="s">
        <v>206</v>
      </c>
    </row>
    <row r="36" customFormat="false" ht="26.85" hidden="false" customHeight="false" outlineLevel="0" collapsed="false">
      <c r="A36" s="11" t="s">
        <v>104</v>
      </c>
      <c r="B36" s="12" t="s">
        <v>104</v>
      </c>
      <c r="C36" s="13" t="s">
        <v>103</v>
      </c>
      <c r="D36" s="13" t="s">
        <v>154</v>
      </c>
      <c r="E36" s="13" t="s">
        <v>129</v>
      </c>
      <c r="F36" s="13" t="s">
        <v>257</v>
      </c>
      <c r="G36" s="13" t="s">
        <v>258</v>
      </c>
      <c r="H36" s="12" t="s">
        <v>259</v>
      </c>
      <c r="I36" s="13" t="s">
        <v>206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2"/>
    <col collapsed="false" customWidth="true" hidden="false" outlineLevel="0" max="2" min="2" style="0" width="18"/>
    <col collapsed="false" customWidth="true" hidden="false" outlineLevel="0" max="3" min="3" style="0" width="80"/>
  </cols>
  <sheetData>
    <row r="1" customFormat="false" ht="17.35" hidden="false" customHeight="false" outlineLevel="0" collapsed="false">
      <c r="A1" s="1" t="s">
        <v>260</v>
      </c>
      <c r="B1" s="2"/>
      <c r="C1" s="2"/>
    </row>
    <row r="2" customFormat="false" ht="15" hidden="false" customHeight="false" outlineLevel="0" collapsed="false">
      <c r="A2" s="3" t="s">
        <v>261</v>
      </c>
      <c r="B2" s="2"/>
      <c r="C2" s="2"/>
    </row>
    <row r="3" customFormat="false" ht="15" hidden="false" customHeight="false" outlineLevel="0" collapsed="false">
      <c r="A3" s="2"/>
      <c r="B3" s="2"/>
      <c r="C3" s="2"/>
    </row>
    <row r="4" customFormat="false" ht="15" hidden="false" customHeight="false" outlineLevel="0" collapsed="false">
      <c r="A4" s="10" t="s">
        <v>262</v>
      </c>
      <c r="B4" s="2"/>
      <c r="C4" s="2"/>
    </row>
    <row r="5" customFormat="false" ht="15" hidden="false" customHeight="false" outlineLevel="0" collapsed="false">
      <c r="A5" s="14" t="s">
        <v>263</v>
      </c>
      <c r="B5" s="2"/>
      <c r="C5" s="2"/>
    </row>
    <row r="6" customFormat="false" ht="15" hidden="false" customHeight="false" outlineLevel="0" collapsed="false">
      <c r="A6" s="2" t="s">
        <v>264</v>
      </c>
      <c r="B6" s="2"/>
      <c r="C6" s="2"/>
    </row>
    <row r="7" customFormat="false" ht="15" hidden="false" customHeight="false" outlineLevel="0" collapsed="false">
      <c r="A7" s="15" t="s">
        <v>265</v>
      </c>
      <c r="B7" s="2"/>
      <c r="C7" s="2"/>
    </row>
    <row r="8" customFormat="false" ht="15" hidden="false" customHeight="false" outlineLevel="0" collapsed="false">
      <c r="A8" s="16" t="s">
        <v>266</v>
      </c>
      <c r="B8" s="2"/>
      <c r="C8" s="2"/>
    </row>
    <row r="9" customFormat="false" ht="15" hidden="false" customHeight="false" outlineLevel="0" collapsed="false">
      <c r="A9" s="2"/>
      <c r="B9" s="2"/>
      <c r="C9" s="2"/>
    </row>
    <row r="10" customFormat="false" ht="15" hidden="false" customHeight="false" outlineLevel="0" collapsed="false">
      <c r="A10" s="10" t="s">
        <v>267</v>
      </c>
      <c r="B10" s="2"/>
      <c r="C10" s="2"/>
    </row>
    <row r="11" customFormat="false" ht="15" hidden="false" customHeight="false" outlineLevel="0" collapsed="false">
      <c r="A11" s="2" t="s">
        <v>268</v>
      </c>
      <c r="B11" s="17" t="n">
        <v>1</v>
      </c>
      <c r="C11" s="2"/>
    </row>
    <row r="12" customFormat="false" ht="15" hidden="false" customHeight="false" outlineLevel="0" collapsed="false">
      <c r="A12" s="2" t="s">
        <v>269</v>
      </c>
      <c r="B12" s="18" t="n">
        <v>0.1</v>
      </c>
      <c r="C12" s="2" t="s">
        <v>270</v>
      </c>
    </row>
    <row r="13" customFormat="false" ht="15" hidden="false" customHeight="false" outlineLevel="0" collapsed="false">
      <c r="A13" s="2"/>
      <c r="B13" s="2"/>
      <c r="C13" s="2"/>
    </row>
    <row r="14" customFormat="false" ht="15" hidden="false" customHeight="false" outlineLevel="0" collapsed="false">
      <c r="A14" s="10" t="s">
        <v>271</v>
      </c>
      <c r="B14" s="2"/>
      <c r="C14" s="2"/>
    </row>
    <row r="15" customFormat="false" ht="31.5" hidden="false" customHeight="true" outlineLevel="0" collapsed="false">
      <c r="A15" s="4" t="s">
        <v>272</v>
      </c>
      <c r="B15" s="4" t="s">
        <v>273</v>
      </c>
      <c r="C15" s="4" t="s">
        <v>274</v>
      </c>
    </row>
    <row r="16" customFormat="false" ht="15" hidden="false" customHeight="false" outlineLevel="0" collapsed="false">
      <c r="A16" s="2" t="s">
        <v>14</v>
      </c>
      <c r="B16" s="19" t="n">
        <v>0.2</v>
      </c>
      <c r="C16" s="2" t="s">
        <v>275</v>
      </c>
    </row>
    <row r="17" customFormat="false" ht="15" hidden="false" customHeight="false" outlineLevel="0" collapsed="false">
      <c r="A17" s="2" t="s">
        <v>24</v>
      </c>
      <c r="B17" s="19" t="n">
        <v>0.2</v>
      </c>
      <c r="C17" s="2" t="s">
        <v>111</v>
      </c>
    </row>
    <row r="18" customFormat="false" ht="15" hidden="false" customHeight="false" outlineLevel="0" collapsed="false">
      <c r="A18" s="2" t="s">
        <v>48</v>
      </c>
      <c r="B18" s="19" t="n">
        <v>0.3</v>
      </c>
      <c r="C18" s="2" t="s">
        <v>276</v>
      </c>
    </row>
    <row r="19" customFormat="false" ht="15" hidden="false" customHeight="false" outlineLevel="0" collapsed="false">
      <c r="A19" s="2" t="s">
        <v>59</v>
      </c>
      <c r="B19" s="19" t="n">
        <v>0.3</v>
      </c>
      <c r="C19" s="2" t="s">
        <v>277</v>
      </c>
    </row>
    <row r="20" customFormat="false" ht="15" hidden="false" customHeight="false" outlineLevel="0" collapsed="false">
      <c r="A20" s="2" t="s">
        <v>82</v>
      </c>
      <c r="B20" s="19" t="n">
        <v>0.18</v>
      </c>
      <c r="C20" s="2" t="s">
        <v>278</v>
      </c>
    </row>
    <row r="21" customFormat="false" ht="15" hidden="false" customHeight="false" outlineLevel="0" collapsed="false">
      <c r="A21" s="2" t="s">
        <v>92</v>
      </c>
      <c r="B21" s="19" t="n">
        <v>0.15</v>
      </c>
      <c r="C21" s="2" t="s">
        <v>115</v>
      </c>
    </row>
    <row r="22" customFormat="false" ht="15" hidden="false" customHeight="false" outlineLevel="0" collapsed="false">
      <c r="A22" s="2" t="s">
        <v>103</v>
      </c>
      <c r="B22" s="19" t="n">
        <v>0.15</v>
      </c>
      <c r="C22" s="2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30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8" min="7" style="0" width="14"/>
  </cols>
  <sheetData>
    <row r="1" customFormat="false" ht="17.35" hidden="false" customHeight="false" outlineLevel="0" collapsed="false">
      <c r="A1" s="1" t="s">
        <v>279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280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31.5" hidden="false" customHeight="true" outlineLevel="0" collapsed="false">
      <c r="A4" s="4" t="s">
        <v>281</v>
      </c>
      <c r="B4" s="4" t="s">
        <v>282</v>
      </c>
      <c r="C4" s="4" t="s">
        <v>283</v>
      </c>
      <c r="D4" s="4" t="s">
        <v>284</v>
      </c>
      <c r="E4" s="4" t="s">
        <v>285</v>
      </c>
      <c r="F4" s="4" t="s">
        <v>286</v>
      </c>
      <c r="G4" s="4" t="s">
        <v>287</v>
      </c>
      <c r="H4" s="4" t="s">
        <v>288</v>
      </c>
    </row>
    <row r="5" customFormat="false" ht="15" hidden="false" customHeight="false" outlineLevel="0" collapsed="false">
      <c r="A5" s="2" t="s">
        <v>83</v>
      </c>
      <c r="B5" s="3" t="s">
        <v>83</v>
      </c>
      <c r="C5" s="2" t="s">
        <v>289</v>
      </c>
      <c r="D5" s="2" t="s">
        <v>290</v>
      </c>
      <c r="E5" s="14" t="n">
        <v>33.8</v>
      </c>
      <c r="F5" s="2" t="s">
        <v>291</v>
      </c>
      <c r="G5" s="20" t="n">
        <v>8</v>
      </c>
      <c r="H5" s="21" t="n">
        <f aca="false">IFERROR(G5/E5,0)</f>
        <v>0.236686390532544</v>
      </c>
    </row>
    <row r="6" customFormat="false" ht="15" hidden="false" customHeight="false" outlineLevel="0" collapsed="false">
      <c r="A6" s="2" t="s">
        <v>292</v>
      </c>
      <c r="B6" s="3" t="s">
        <v>293</v>
      </c>
      <c r="C6" s="2" t="s">
        <v>289</v>
      </c>
      <c r="D6" s="2" t="s">
        <v>290</v>
      </c>
      <c r="E6" s="14" t="n">
        <v>33.8</v>
      </c>
      <c r="F6" s="2" t="s">
        <v>291</v>
      </c>
      <c r="G6" s="20" t="n">
        <v>10</v>
      </c>
      <c r="H6" s="21" t="n">
        <f aca="false">IFERROR(G6/E6,0)</f>
        <v>0.295857988165681</v>
      </c>
    </row>
    <row r="7" customFormat="false" ht="15" hidden="false" customHeight="false" outlineLevel="0" collapsed="false">
      <c r="A7" s="2" t="s">
        <v>80</v>
      </c>
      <c r="B7" s="3" t="s">
        <v>81</v>
      </c>
      <c r="C7" s="2" t="s">
        <v>289</v>
      </c>
      <c r="D7" s="2" t="s">
        <v>294</v>
      </c>
      <c r="E7" s="14" t="n">
        <v>25.36</v>
      </c>
      <c r="F7" s="2" t="s">
        <v>291</v>
      </c>
      <c r="G7" s="20" t="n">
        <v>18</v>
      </c>
      <c r="H7" s="21" t="n">
        <f aca="false">IFERROR(G7/E7,0)</f>
        <v>0.709779179810726</v>
      </c>
    </row>
    <row r="8" customFormat="false" ht="15" hidden="false" customHeight="false" outlineLevel="0" collapsed="false">
      <c r="A8" s="2" t="s">
        <v>84</v>
      </c>
      <c r="B8" s="3" t="s">
        <v>84</v>
      </c>
      <c r="C8" s="2" t="s">
        <v>289</v>
      </c>
      <c r="D8" s="2" t="s">
        <v>290</v>
      </c>
      <c r="E8" s="14" t="n">
        <v>33.8</v>
      </c>
      <c r="F8" s="2" t="s">
        <v>291</v>
      </c>
      <c r="G8" s="20" t="n">
        <v>12</v>
      </c>
      <c r="H8" s="21" t="n">
        <f aca="false">IFERROR(G8/E8,0)</f>
        <v>0.355029585798817</v>
      </c>
    </row>
    <row r="9" customFormat="false" ht="15" hidden="false" customHeight="false" outlineLevel="0" collapsed="false">
      <c r="A9" s="2" t="s">
        <v>85</v>
      </c>
      <c r="B9" s="3" t="s">
        <v>86</v>
      </c>
      <c r="C9" s="2" t="s">
        <v>289</v>
      </c>
      <c r="D9" s="2" t="s">
        <v>294</v>
      </c>
      <c r="E9" s="14" t="n">
        <v>25.36</v>
      </c>
      <c r="F9" s="2" t="s">
        <v>291</v>
      </c>
      <c r="G9" s="20" t="n">
        <v>16</v>
      </c>
      <c r="H9" s="21" t="n">
        <f aca="false">IFERROR(G9/E9,0)</f>
        <v>0.630914826498423</v>
      </c>
    </row>
    <row r="10" customFormat="false" ht="15" hidden="false" customHeight="false" outlineLevel="0" collapsed="false">
      <c r="A10" s="2" t="s">
        <v>87</v>
      </c>
      <c r="B10" s="3" t="s">
        <v>87</v>
      </c>
      <c r="C10" s="2" t="s">
        <v>289</v>
      </c>
      <c r="D10" s="2" t="s">
        <v>294</v>
      </c>
      <c r="E10" s="14" t="n">
        <v>25.36</v>
      </c>
      <c r="F10" s="2" t="s">
        <v>291</v>
      </c>
      <c r="G10" s="20" t="n">
        <v>20</v>
      </c>
      <c r="H10" s="21" t="n">
        <f aca="false">IFERROR(G10/E10,0)</f>
        <v>0.788643533123028</v>
      </c>
    </row>
    <row r="11" customFormat="false" ht="15" hidden="false" customHeight="false" outlineLevel="0" collapsed="false">
      <c r="A11" s="2" t="s">
        <v>90</v>
      </c>
      <c r="B11" s="3" t="s">
        <v>90</v>
      </c>
      <c r="C11" s="2" t="s">
        <v>289</v>
      </c>
      <c r="D11" s="2" t="s">
        <v>294</v>
      </c>
      <c r="E11" s="14" t="n">
        <v>25.36</v>
      </c>
      <c r="F11" s="2" t="s">
        <v>291</v>
      </c>
      <c r="G11" s="20" t="n">
        <v>32</v>
      </c>
      <c r="H11" s="21" t="n">
        <f aca="false">IFERROR(G11/E11,0)</f>
        <v>1.26182965299685</v>
      </c>
    </row>
    <row r="12" customFormat="false" ht="15" hidden="false" customHeight="false" outlineLevel="0" collapsed="false">
      <c r="A12" s="2" t="s">
        <v>88</v>
      </c>
      <c r="B12" s="3" t="s">
        <v>88</v>
      </c>
      <c r="C12" s="2" t="s">
        <v>289</v>
      </c>
      <c r="D12" s="2" t="s">
        <v>294</v>
      </c>
      <c r="E12" s="14" t="n">
        <v>25.36</v>
      </c>
      <c r="F12" s="2" t="s">
        <v>291</v>
      </c>
      <c r="G12" s="20" t="n">
        <v>18</v>
      </c>
      <c r="H12" s="21" t="n">
        <f aca="false">IFERROR(G12/E12,0)</f>
        <v>0.709779179810726</v>
      </c>
    </row>
    <row r="13" customFormat="false" ht="15" hidden="false" customHeight="false" outlineLevel="0" collapsed="false">
      <c r="A13" s="2" t="s">
        <v>295</v>
      </c>
      <c r="B13" s="3" t="s">
        <v>295</v>
      </c>
      <c r="C13" s="2" t="s">
        <v>289</v>
      </c>
      <c r="D13" s="2" t="s">
        <v>294</v>
      </c>
      <c r="E13" s="14" t="n">
        <v>25.36</v>
      </c>
      <c r="F13" s="2" t="s">
        <v>291</v>
      </c>
      <c r="G13" s="20" t="n">
        <v>18</v>
      </c>
      <c r="H13" s="21" t="n">
        <f aca="false">IFERROR(G13/E13,0)</f>
        <v>0.709779179810726</v>
      </c>
    </row>
    <row r="14" customFormat="false" ht="15" hidden="false" customHeight="false" outlineLevel="0" collapsed="false">
      <c r="A14" s="2" t="s">
        <v>89</v>
      </c>
      <c r="B14" s="3" t="s">
        <v>89</v>
      </c>
      <c r="C14" s="2" t="s">
        <v>289</v>
      </c>
      <c r="D14" s="2" t="s">
        <v>294</v>
      </c>
      <c r="E14" s="14" t="n">
        <v>25.36</v>
      </c>
      <c r="F14" s="2" t="s">
        <v>291</v>
      </c>
      <c r="G14" s="20" t="n">
        <v>18</v>
      </c>
      <c r="H14" s="21" t="n">
        <f aca="false">IFERROR(G14/E14,0)</f>
        <v>0.709779179810726</v>
      </c>
    </row>
    <row r="15" customFormat="false" ht="15" hidden="false" customHeight="false" outlineLevel="0" collapsed="false">
      <c r="A15" s="2" t="s">
        <v>296</v>
      </c>
      <c r="B15" s="3" t="s">
        <v>296</v>
      </c>
      <c r="C15" s="2" t="s">
        <v>289</v>
      </c>
      <c r="D15" s="2" t="s">
        <v>294</v>
      </c>
      <c r="E15" s="14" t="n">
        <v>25.36</v>
      </c>
      <c r="F15" s="2" t="s">
        <v>291</v>
      </c>
      <c r="G15" s="20" t="n">
        <v>22</v>
      </c>
      <c r="H15" s="21" t="n">
        <f aca="false">IFERROR(G15/E15,0)</f>
        <v>0.867507886435331</v>
      </c>
    </row>
    <row r="16" customFormat="false" ht="15" hidden="false" customHeight="false" outlineLevel="0" collapsed="false">
      <c r="A16" s="2" t="s">
        <v>297</v>
      </c>
      <c r="B16" s="3" t="s">
        <v>297</v>
      </c>
      <c r="C16" s="2" t="s">
        <v>298</v>
      </c>
      <c r="D16" s="2" t="s">
        <v>290</v>
      </c>
      <c r="E16" s="14" t="n">
        <v>33.8</v>
      </c>
      <c r="F16" s="2" t="s">
        <v>291</v>
      </c>
      <c r="G16" s="20" t="n">
        <v>10</v>
      </c>
      <c r="H16" s="21" t="n">
        <f aca="false">IFERROR(G16/E16,0)</f>
        <v>0.295857988165681</v>
      </c>
    </row>
    <row r="17" customFormat="false" ht="15" hidden="false" customHeight="false" outlineLevel="0" collapsed="false">
      <c r="A17" s="2" t="s">
        <v>299</v>
      </c>
      <c r="B17" s="3" t="s">
        <v>299</v>
      </c>
      <c r="C17" s="2" t="s">
        <v>298</v>
      </c>
      <c r="D17" s="2" t="s">
        <v>294</v>
      </c>
      <c r="E17" s="14" t="n">
        <v>25.36</v>
      </c>
      <c r="F17" s="2" t="s">
        <v>291</v>
      </c>
      <c r="G17" s="20" t="n">
        <v>22</v>
      </c>
      <c r="H17" s="21" t="n">
        <f aca="false">IFERROR(G17/E17,0)</f>
        <v>0.867507886435331</v>
      </c>
    </row>
    <row r="18" customFormat="false" ht="15" hidden="false" customHeight="false" outlineLevel="0" collapsed="false">
      <c r="A18" s="2" t="s">
        <v>300</v>
      </c>
      <c r="B18" s="3" t="s">
        <v>300</v>
      </c>
      <c r="C18" s="2" t="s">
        <v>298</v>
      </c>
      <c r="D18" s="2" t="s">
        <v>294</v>
      </c>
      <c r="E18" s="14" t="n">
        <v>25.36</v>
      </c>
      <c r="F18" s="2" t="s">
        <v>291</v>
      </c>
      <c r="G18" s="20" t="n">
        <v>20</v>
      </c>
      <c r="H18" s="21" t="n">
        <f aca="false">IFERROR(G18/E18,0)</f>
        <v>0.788643533123028</v>
      </c>
    </row>
    <row r="19" customFormat="false" ht="15" hidden="false" customHeight="false" outlineLevel="0" collapsed="false">
      <c r="A19" s="2" t="s">
        <v>301</v>
      </c>
      <c r="B19" s="3" t="s">
        <v>301</v>
      </c>
      <c r="C19" s="2" t="s">
        <v>298</v>
      </c>
      <c r="D19" s="2" t="s">
        <v>294</v>
      </c>
      <c r="E19" s="14" t="n">
        <v>25.36</v>
      </c>
      <c r="F19" s="2" t="s">
        <v>291</v>
      </c>
      <c r="G19" s="20" t="n">
        <v>26</v>
      </c>
      <c r="H19" s="21" t="n">
        <f aca="false">IFERROR(G19/E19,0)</f>
        <v>1.02523659305994</v>
      </c>
    </row>
    <row r="20" customFormat="false" ht="15" hidden="false" customHeight="false" outlineLevel="0" collapsed="false">
      <c r="A20" s="2" t="s">
        <v>302</v>
      </c>
      <c r="B20" s="3" t="s">
        <v>303</v>
      </c>
      <c r="C20" s="2" t="s">
        <v>298</v>
      </c>
      <c r="D20" s="2" t="s">
        <v>294</v>
      </c>
      <c r="E20" s="14" t="n">
        <v>25.36</v>
      </c>
      <c r="F20" s="2" t="s">
        <v>291</v>
      </c>
      <c r="G20" s="20" t="n">
        <v>14</v>
      </c>
      <c r="H20" s="21" t="n">
        <f aca="false">IFERROR(G20/E20,0)</f>
        <v>0.55205047318612</v>
      </c>
    </row>
    <row r="21" customFormat="false" ht="15" hidden="false" customHeight="false" outlineLevel="0" collapsed="false">
      <c r="A21" s="2" t="s">
        <v>304</v>
      </c>
      <c r="B21" s="3" t="s">
        <v>305</v>
      </c>
      <c r="C21" s="2" t="s">
        <v>306</v>
      </c>
      <c r="D21" s="2" t="s">
        <v>290</v>
      </c>
      <c r="E21" s="14" t="n">
        <v>33.8</v>
      </c>
      <c r="F21" s="2" t="s">
        <v>291</v>
      </c>
      <c r="G21" s="20" t="n">
        <v>12</v>
      </c>
      <c r="H21" s="21" t="n">
        <f aca="false">IFERROR(G21/E21,0)</f>
        <v>0.355029585798817</v>
      </c>
    </row>
    <row r="22" customFormat="false" ht="15" hidden="false" customHeight="false" outlineLevel="0" collapsed="false">
      <c r="A22" s="2" t="s">
        <v>307</v>
      </c>
      <c r="B22" s="3" t="s">
        <v>308</v>
      </c>
      <c r="C22" s="2" t="s">
        <v>306</v>
      </c>
      <c r="D22" s="2" t="s">
        <v>294</v>
      </c>
      <c r="E22" s="14" t="n">
        <v>25.36</v>
      </c>
      <c r="F22" s="2" t="s">
        <v>291</v>
      </c>
      <c r="G22" s="20" t="n">
        <v>14</v>
      </c>
      <c r="H22" s="21" t="n">
        <f aca="false">IFERROR(G22/E22,0)</f>
        <v>0.55205047318612</v>
      </c>
    </row>
    <row r="23" customFormat="false" ht="15" hidden="false" customHeight="false" outlineLevel="0" collapsed="false">
      <c r="A23" s="2" t="s">
        <v>309</v>
      </c>
      <c r="B23" s="3" t="s">
        <v>309</v>
      </c>
      <c r="C23" s="2" t="s">
        <v>59</v>
      </c>
      <c r="D23" s="2" t="s">
        <v>294</v>
      </c>
      <c r="E23" s="14" t="n">
        <v>25.36</v>
      </c>
      <c r="F23" s="2" t="s">
        <v>291</v>
      </c>
      <c r="G23" s="20" t="n">
        <v>10</v>
      </c>
      <c r="H23" s="21" t="n">
        <f aca="false">IFERROR(G23/E23,0)</f>
        <v>0.394321766561514</v>
      </c>
    </row>
    <row r="24" customFormat="false" ht="15" hidden="false" customHeight="false" outlineLevel="0" collapsed="false">
      <c r="A24" s="2" t="s">
        <v>310</v>
      </c>
      <c r="B24" s="3" t="s">
        <v>310</v>
      </c>
      <c r="C24" s="2" t="s">
        <v>59</v>
      </c>
      <c r="D24" s="2" t="s">
        <v>294</v>
      </c>
      <c r="E24" s="14" t="n">
        <v>25.36</v>
      </c>
      <c r="F24" s="2" t="s">
        <v>291</v>
      </c>
      <c r="G24" s="20" t="n">
        <v>10</v>
      </c>
      <c r="H24" s="21" t="n">
        <f aca="false">IFERROR(G24/E24,0)</f>
        <v>0.394321766561514</v>
      </c>
    </row>
    <row r="25" customFormat="false" ht="15" hidden="false" customHeight="false" outlineLevel="0" collapsed="false">
      <c r="A25" s="2" t="s">
        <v>311</v>
      </c>
      <c r="B25" s="3" t="s">
        <v>311</v>
      </c>
      <c r="C25" s="2" t="s">
        <v>59</v>
      </c>
      <c r="D25" s="2" t="s">
        <v>294</v>
      </c>
      <c r="E25" s="14" t="n">
        <v>25.36</v>
      </c>
      <c r="F25" s="2" t="s">
        <v>291</v>
      </c>
      <c r="G25" s="20" t="n">
        <v>10</v>
      </c>
      <c r="H25" s="21" t="n">
        <f aca="false">IFERROR(G25/E25,0)</f>
        <v>0.394321766561514</v>
      </c>
    </row>
    <row r="26" customFormat="false" ht="15" hidden="false" customHeight="false" outlineLevel="0" collapsed="false">
      <c r="A26" s="2" t="s">
        <v>312</v>
      </c>
      <c r="B26" s="3" t="s">
        <v>312</v>
      </c>
      <c r="C26" s="2" t="s">
        <v>59</v>
      </c>
      <c r="D26" s="2" t="s">
        <v>294</v>
      </c>
      <c r="E26" s="14" t="n">
        <v>25.36</v>
      </c>
      <c r="F26" s="2" t="s">
        <v>291</v>
      </c>
      <c r="G26" s="20" t="n">
        <v>8</v>
      </c>
      <c r="H26" s="21" t="n">
        <f aca="false">IFERROR(G26/E26,0)</f>
        <v>0.315457413249211</v>
      </c>
    </row>
    <row r="27" customFormat="false" ht="15" hidden="false" customHeight="false" outlineLevel="0" collapsed="false">
      <c r="A27" s="2" t="s">
        <v>313</v>
      </c>
      <c r="B27" s="3" t="s">
        <v>314</v>
      </c>
      <c r="C27" s="2" t="s">
        <v>59</v>
      </c>
      <c r="D27" s="2" t="s">
        <v>294</v>
      </c>
      <c r="E27" s="14" t="n">
        <v>25.36</v>
      </c>
      <c r="F27" s="2" t="s">
        <v>291</v>
      </c>
      <c r="G27" s="20" t="n">
        <v>10</v>
      </c>
      <c r="H27" s="21" t="n">
        <f aca="false">IFERROR(G27/E27,0)</f>
        <v>0.394321766561514</v>
      </c>
    </row>
    <row r="28" customFormat="false" ht="15" hidden="false" customHeight="false" outlineLevel="0" collapsed="false">
      <c r="A28" s="2" t="s">
        <v>46</v>
      </c>
      <c r="B28" s="3" t="s">
        <v>47</v>
      </c>
      <c r="C28" s="2" t="s">
        <v>48</v>
      </c>
      <c r="D28" s="2" t="s">
        <v>315</v>
      </c>
      <c r="E28" s="14" t="n">
        <v>24</v>
      </c>
      <c r="F28" s="2" t="s">
        <v>316</v>
      </c>
      <c r="G28" s="20" t="n">
        <v>20</v>
      </c>
      <c r="H28" s="21" t="n">
        <f aca="false">IFERROR(G28/E28,0)</f>
        <v>0.833333333333333</v>
      </c>
    </row>
    <row r="29" customFormat="false" ht="15" hidden="false" customHeight="false" outlineLevel="0" collapsed="false">
      <c r="A29" s="2" t="s">
        <v>49</v>
      </c>
      <c r="B29" s="3" t="s">
        <v>50</v>
      </c>
      <c r="C29" s="2" t="s">
        <v>48</v>
      </c>
      <c r="D29" s="2" t="s">
        <v>315</v>
      </c>
      <c r="E29" s="14" t="n">
        <v>24</v>
      </c>
      <c r="F29" s="2" t="s">
        <v>316</v>
      </c>
      <c r="G29" s="20" t="n">
        <v>38</v>
      </c>
      <c r="H29" s="21" t="n">
        <f aca="false">IFERROR(G29/E29,0)</f>
        <v>1.58333333333333</v>
      </c>
    </row>
    <row r="30" customFormat="false" ht="15" hidden="false" customHeight="false" outlineLevel="0" collapsed="false">
      <c r="A30" s="2" t="s">
        <v>317</v>
      </c>
      <c r="B30" s="3" t="s">
        <v>318</v>
      </c>
      <c r="C30" s="2" t="s">
        <v>48</v>
      </c>
      <c r="D30" s="2" t="s">
        <v>319</v>
      </c>
      <c r="E30" s="14" t="n">
        <v>12</v>
      </c>
      <c r="F30" s="2" t="s">
        <v>316</v>
      </c>
      <c r="G30" s="20" t="n">
        <v>30</v>
      </c>
      <c r="H30" s="21" t="n">
        <f aca="false">IFERROR(G30/E30,0)</f>
        <v>2.5</v>
      </c>
    </row>
    <row r="31" customFormat="false" ht="15" hidden="false" customHeight="false" outlineLevel="0" collapsed="false">
      <c r="A31" s="2" t="s">
        <v>320</v>
      </c>
      <c r="B31" s="3" t="s">
        <v>320</v>
      </c>
      <c r="C31" s="2" t="s">
        <v>321</v>
      </c>
      <c r="D31" s="2" t="s">
        <v>322</v>
      </c>
      <c r="E31" s="14" t="n">
        <v>240</v>
      </c>
      <c r="F31" s="2" t="s">
        <v>291</v>
      </c>
      <c r="G31" s="20" t="n">
        <v>28</v>
      </c>
      <c r="H31" s="21" t="n">
        <f aca="false">IFERROR(G31/E31,0)</f>
        <v>0.116666666666667</v>
      </c>
    </row>
    <row r="32" customFormat="false" ht="15" hidden="false" customHeight="false" outlineLevel="0" collapsed="false">
      <c r="A32" s="2" t="s">
        <v>323</v>
      </c>
      <c r="B32" s="3" t="s">
        <v>323</v>
      </c>
      <c r="C32" s="2" t="s">
        <v>321</v>
      </c>
      <c r="D32" s="2" t="s">
        <v>324</v>
      </c>
      <c r="E32" s="14" t="n">
        <v>288</v>
      </c>
      <c r="F32" s="2" t="s">
        <v>291</v>
      </c>
      <c r="G32" s="20" t="n">
        <v>14</v>
      </c>
      <c r="H32" s="21" t="n">
        <f aca="false">IFERROR(G32/E32,0)</f>
        <v>0.0486111111111111</v>
      </c>
    </row>
    <row r="33" customFormat="false" ht="15" hidden="false" customHeight="false" outlineLevel="0" collapsed="false">
      <c r="A33" s="2" t="s">
        <v>325</v>
      </c>
      <c r="B33" s="3" t="s">
        <v>326</v>
      </c>
      <c r="C33" s="2" t="s">
        <v>321</v>
      </c>
      <c r="D33" s="2" t="s">
        <v>322</v>
      </c>
      <c r="E33" s="14" t="n">
        <v>240</v>
      </c>
      <c r="F33" s="2" t="s">
        <v>291</v>
      </c>
      <c r="G33" s="20" t="n">
        <v>22</v>
      </c>
      <c r="H33" s="21" t="n">
        <f aca="false">IFERROR(G33/E33,0)</f>
        <v>0.0916666666666667</v>
      </c>
    </row>
    <row r="34" customFormat="false" ht="15" hidden="false" customHeight="false" outlineLevel="0" collapsed="false">
      <c r="A34" s="2" t="s">
        <v>327</v>
      </c>
      <c r="B34" s="3" t="s">
        <v>328</v>
      </c>
      <c r="C34" s="2" t="s">
        <v>321</v>
      </c>
      <c r="D34" s="2" t="s">
        <v>329</v>
      </c>
      <c r="E34" s="14" t="n">
        <v>405.6</v>
      </c>
      <c r="F34" s="2" t="s">
        <v>291</v>
      </c>
      <c r="G34" s="20" t="n">
        <v>10</v>
      </c>
      <c r="H34" s="21" t="n">
        <f aca="false">IFERROR(G34/E34,0)</f>
        <v>0.02465483234714</v>
      </c>
    </row>
    <row r="35" customFormat="false" ht="15" hidden="false" customHeight="false" outlineLevel="0" collapsed="false">
      <c r="A35" s="2" t="s">
        <v>330</v>
      </c>
      <c r="B35" s="3" t="s">
        <v>330</v>
      </c>
      <c r="C35" s="2" t="s">
        <v>321</v>
      </c>
      <c r="D35" s="2" t="s">
        <v>324</v>
      </c>
      <c r="E35" s="14" t="n">
        <v>288</v>
      </c>
      <c r="F35" s="2" t="s">
        <v>291</v>
      </c>
      <c r="G35" s="20" t="n">
        <v>14</v>
      </c>
      <c r="H35" s="21" t="n">
        <f aca="false">IFERROR(G35/E35,0)</f>
        <v>0.0486111111111111</v>
      </c>
    </row>
    <row r="36" customFormat="false" ht="15" hidden="false" customHeight="false" outlineLevel="0" collapsed="false">
      <c r="A36" s="2" t="s">
        <v>331</v>
      </c>
      <c r="B36" s="3" t="s">
        <v>332</v>
      </c>
      <c r="C36" s="2" t="s">
        <v>321</v>
      </c>
      <c r="D36" s="2" t="s">
        <v>333</v>
      </c>
      <c r="E36" s="14" t="n">
        <v>148</v>
      </c>
      <c r="F36" s="2" t="s">
        <v>334</v>
      </c>
      <c r="G36" s="20" t="n">
        <v>10</v>
      </c>
      <c r="H36" s="21" t="n">
        <f aca="false">IFERROR(G36/E36,0)</f>
        <v>0.0675675675675676</v>
      </c>
    </row>
    <row r="37" customFormat="false" ht="15" hidden="false" customHeight="false" outlineLevel="0" collapsed="false">
      <c r="A37" s="2" t="s">
        <v>335</v>
      </c>
      <c r="B37" s="3" t="s">
        <v>336</v>
      </c>
      <c r="C37" s="2" t="s">
        <v>321</v>
      </c>
      <c r="D37" s="2" t="s">
        <v>337</v>
      </c>
      <c r="E37" s="14" t="n">
        <v>40</v>
      </c>
      <c r="F37" s="2" t="s">
        <v>316</v>
      </c>
      <c r="G37" s="20" t="n">
        <v>6</v>
      </c>
      <c r="H37" s="21" t="n">
        <f aca="false">IFERROR(G37/E37,0)</f>
        <v>0.15</v>
      </c>
    </row>
    <row r="38" customFormat="false" ht="15" hidden="false" customHeight="false" outlineLevel="0" collapsed="false">
      <c r="A38" s="2" t="s">
        <v>338</v>
      </c>
      <c r="B38" s="3" t="s">
        <v>339</v>
      </c>
      <c r="C38" s="2" t="s">
        <v>340</v>
      </c>
      <c r="D38" s="2" t="s">
        <v>341</v>
      </c>
      <c r="E38" s="14" t="n">
        <v>1</v>
      </c>
      <c r="F38" s="2" t="s">
        <v>291</v>
      </c>
      <c r="G38" s="20" t="n">
        <v>0.2</v>
      </c>
      <c r="H38" s="21" t="n">
        <f aca="false">IFERROR(G38/E38,0)</f>
        <v>0.2</v>
      </c>
    </row>
    <row r="39" customFormat="false" ht="15" hidden="false" customHeight="false" outlineLevel="0" collapsed="false">
      <c r="A39" s="2" t="s">
        <v>342</v>
      </c>
      <c r="B39" s="3" t="s">
        <v>343</v>
      </c>
      <c r="C39" s="2" t="s">
        <v>340</v>
      </c>
      <c r="D39" s="2" t="s">
        <v>341</v>
      </c>
      <c r="E39" s="14" t="n">
        <v>1</v>
      </c>
      <c r="F39" s="2" t="s">
        <v>291</v>
      </c>
      <c r="G39" s="20" t="n">
        <v>0.3</v>
      </c>
      <c r="H39" s="21" t="n">
        <f aca="false">IFERROR(G39/E39,0)</f>
        <v>0.3</v>
      </c>
    </row>
    <row r="40" customFormat="false" ht="15" hidden="false" customHeight="false" outlineLevel="0" collapsed="false">
      <c r="A40" s="2" t="s">
        <v>344</v>
      </c>
      <c r="B40" s="3" t="s">
        <v>345</v>
      </c>
      <c r="C40" s="2" t="s">
        <v>340</v>
      </c>
      <c r="D40" s="2" t="s">
        <v>341</v>
      </c>
      <c r="E40" s="14" t="n">
        <v>1</v>
      </c>
      <c r="F40" s="2" t="s">
        <v>291</v>
      </c>
      <c r="G40" s="20" t="n">
        <v>0.18</v>
      </c>
      <c r="H40" s="21" t="n">
        <f aca="false">IFERROR(G40/E40,0)</f>
        <v>0.18</v>
      </c>
    </row>
    <row r="41" customFormat="false" ht="15" hidden="false" customHeight="false" outlineLevel="0" collapsed="false">
      <c r="A41" s="2" t="s">
        <v>346</v>
      </c>
      <c r="B41" s="3" t="s">
        <v>347</v>
      </c>
      <c r="C41" s="2" t="s">
        <v>321</v>
      </c>
      <c r="D41" s="2" t="s">
        <v>290</v>
      </c>
      <c r="E41" s="14" t="n">
        <v>33.8</v>
      </c>
      <c r="F41" s="2" t="s">
        <v>291</v>
      </c>
      <c r="G41" s="20" t="n">
        <v>4</v>
      </c>
      <c r="H41" s="21" t="n">
        <f aca="false">IFERROR(G41/E41,0)</f>
        <v>0.118343195266272</v>
      </c>
    </row>
    <row r="42" customFormat="false" ht="15" hidden="false" customHeight="false" outlineLevel="0" collapsed="false">
      <c r="A42" s="2" t="s">
        <v>348</v>
      </c>
      <c r="B42" s="3" t="s">
        <v>349</v>
      </c>
      <c r="C42" s="2" t="s">
        <v>340</v>
      </c>
      <c r="D42" s="2" t="s">
        <v>350</v>
      </c>
      <c r="E42" s="14" t="n">
        <v>1</v>
      </c>
      <c r="F42" s="2" t="s">
        <v>316</v>
      </c>
      <c r="G42" s="20" t="n">
        <v>0.15</v>
      </c>
      <c r="H42" s="21" t="n">
        <f aca="false">IFERROR(G42/E42,0)</f>
        <v>0.15</v>
      </c>
    </row>
    <row r="43" customFormat="false" ht="15" hidden="false" customHeight="false" outlineLevel="0" collapsed="false">
      <c r="A43" s="2" t="s">
        <v>351</v>
      </c>
      <c r="B43" s="3" t="s">
        <v>352</v>
      </c>
      <c r="C43" s="2" t="s">
        <v>340</v>
      </c>
      <c r="D43" s="2" t="s">
        <v>353</v>
      </c>
      <c r="E43" s="14" t="n">
        <v>30</v>
      </c>
      <c r="F43" s="2" t="s">
        <v>316</v>
      </c>
      <c r="G43" s="20" t="n">
        <v>5</v>
      </c>
      <c r="H43" s="21" t="n">
        <f aca="false">IFERROR(G43/E43,0)</f>
        <v>0.166666666666667</v>
      </c>
    </row>
    <row r="44" customFormat="false" ht="15" hidden="false" customHeight="false" outlineLevel="0" collapsed="false">
      <c r="A44" s="2" t="s">
        <v>198</v>
      </c>
      <c r="B44" s="3" t="s">
        <v>354</v>
      </c>
      <c r="C44" s="2" t="s">
        <v>127</v>
      </c>
      <c r="D44" s="2" t="s">
        <v>355</v>
      </c>
      <c r="E44" s="14" t="n">
        <v>8</v>
      </c>
      <c r="F44" s="2" t="s">
        <v>316</v>
      </c>
      <c r="G44" s="20" t="n">
        <v>0.8</v>
      </c>
      <c r="H44" s="21" t="n">
        <f aca="false">IFERROR(G44/E44,0)</f>
        <v>0.1</v>
      </c>
    </row>
    <row r="45" customFormat="false" ht="15" hidden="false" customHeight="false" outlineLevel="0" collapsed="false">
      <c r="A45" s="2" t="s">
        <v>356</v>
      </c>
      <c r="B45" s="3" t="s">
        <v>357</v>
      </c>
      <c r="C45" s="2" t="s">
        <v>340</v>
      </c>
      <c r="D45" s="2" t="s">
        <v>358</v>
      </c>
      <c r="E45" s="14" t="n">
        <v>34</v>
      </c>
      <c r="F45" s="2" t="s">
        <v>291</v>
      </c>
      <c r="G45" s="20" t="n">
        <v>5</v>
      </c>
      <c r="H45" s="21" t="n">
        <f aca="false">IFERROR(G45/E45,0)</f>
        <v>0.147058823529412</v>
      </c>
    </row>
    <row r="46" customFormat="false" ht="15" hidden="false" customHeight="false" outlineLevel="0" collapsed="false">
      <c r="A46" s="2" t="s">
        <v>144</v>
      </c>
      <c r="B46" s="3" t="s">
        <v>359</v>
      </c>
      <c r="C46" s="2" t="s">
        <v>127</v>
      </c>
      <c r="D46" s="2" t="s">
        <v>360</v>
      </c>
      <c r="E46" s="14" t="n">
        <v>20</v>
      </c>
      <c r="F46" s="2" t="s">
        <v>316</v>
      </c>
      <c r="G46" s="20" t="n">
        <v>2</v>
      </c>
      <c r="H46" s="21" t="n">
        <f aca="false">IFERROR(G46/E46,0)</f>
        <v>0.1</v>
      </c>
    </row>
    <row r="47" customFormat="false" ht="15" hidden="false" customHeight="false" outlineLevel="0" collapsed="false">
      <c r="A47" s="2" t="s">
        <v>361</v>
      </c>
      <c r="B47" s="3" t="s">
        <v>362</v>
      </c>
      <c r="C47" s="2" t="s">
        <v>127</v>
      </c>
      <c r="D47" s="2" t="s">
        <v>360</v>
      </c>
      <c r="E47" s="14" t="n">
        <v>20</v>
      </c>
      <c r="F47" s="2" t="s">
        <v>316</v>
      </c>
      <c r="G47" s="20" t="n">
        <v>2</v>
      </c>
      <c r="H47" s="21" t="n">
        <f aca="false">IFERROR(G47/E47,0)</f>
        <v>0.1</v>
      </c>
    </row>
    <row r="48" customFormat="false" ht="15" hidden="false" customHeight="false" outlineLevel="0" collapsed="false">
      <c r="A48" s="2" t="s">
        <v>242</v>
      </c>
      <c r="B48" s="3" t="s">
        <v>363</v>
      </c>
      <c r="C48" s="2" t="s">
        <v>127</v>
      </c>
      <c r="D48" s="2" t="s">
        <v>360</v>
      </c>
      <c r="E48" s="14" t="n">
        <v>20</v>
      </c>
      <c r="F48" s="2" t="s">
        <v>316</v>
      </c>
      <c r="G48" s="20" t="n">
        <v>2</v>
      </c>
      <c r="H48" s="21" t="n">
        <f aca="false">IFERROR(G48/E48,0)</f>
        <v>0.1</v>
      </c>
    </row>
    <row r="49" customFormat="false" ht="15" hidden="false" customHeight="false" outlineLevel="0" collapsed="false">
      <c r="A49" s="2" t="s">
        <v>170</v>
      </c>
      <c r="B49" s="3" t="s">
        <v>364</v>
      </c>
      <c r="C49" s="2" t="s">
        <v>127</v>
      </c>
      <c r="D49" s="2" t="s">
        <v>365</v>
      </c>
      <c r="E49" s="14" t="n">
        <v>6</v>
      </c>
      <c r="F49" s="2" t="s">
        <v>316</v>
      </c>
      <c r="G49" s="20" t="n">
        <v>0.6</v>
      </c>
      <c r="H49" s="21" t="n">
        <f aca="false">IFERROR(G49/E49,0)</f>
        <v>0.1</v>
      </c>
    </row>
    <row r="50" customFormat="false" ht="15" hidden="false" customHeight="false" outlineLevel="0" collapsed="false">
      <c r="A50" s="2" t="s">
        <v>366</v>
      </c>
      <c r="B50" s="3" t="s">
        <v>367</v>
      </c>
      <c r="C50" s="2" t="s">
        <v>127</v>
      </c>
      <c r="D50" s="2" t="s">
        <v>368</v>
      </c>
      <c r="E50" s="14" t="n">
        <v>1</v>
      </c>
      <c r="F50" s="2" t="s">
        <v>316</v>
      </c>
      <c r="G50" s="20" t="n">
        <v>0.3</v>
      </c>
      <c r="H50" s="21" t="n">
        <f aca="false">IFERROR(G50/E50,0)</f>
        <v>0.3</v>
      </c>
    </row>
    <row r="51" customFormat="false" ht="15" hidden="false" customHeight="false" outlineLevel="0" collapsed="false">
      <c r="A51" s="2" t="s">
        <v>369</v>
      </c>
      <c r="B51" s="3" t="s">
        <v>370</v>
      </c>
      <c r="C51" s="2" t="s">
        <v>127</v>
      </c>
      <c r="D51" s="2" t="s">
        <v>368</v>
      </c>
      <c r="E51" s="14" t="n">
        <v>1</v>
      </c>
      <c r="F51" s="2" t="s">
        <v>316</v>
      </c>
      <c r="G51" s="20" t="n">
        <v>0.03</v>
      </c>
      <c r="H51" s="21" t="n">
        <f aca="false">IFERROR(G51/E51,0)</f>
        <v>0.03</v>
      </c>
    </row>
    <row r="52" customFormat="false" ht="15" hidden="false" customHeight="false" outlineLevel="0" collapsed="false">
      <c r="A52" s="2" t="s">
        <v>371</v>
      </c>
      <c r="B52" s="3" t="s">
        <v>372</v>
      </c>
      <c r="C52" s="2" t="s">
        <v>103</v>
      </c>
      <c r="D52" s="2" t="s">
        <v>373</v>
      </c>
      <c r="E52" s="14" t="n">
        <v>25</v>
      </c>
      <c r="F52" s="2" t="s">
        <v>316</v>
      </c>
      <c r="G52" s="20" t="n">
        <v>14</v>
      </c>
      <c r="H52" s="21" t="n">
        <f aca="false">IFERROR(G52/E52,0)</f>
        <v>0.56</v>
      </c>
    </row>
    <row r="53" customFormat="false" ht="15" hidden="false" customHeight="false" outlineLevel="0" collapsed="false">
      <c r="A53" s="2" t="s">
        <v>374</v>
      </c>
      <c r="B53" s="3" t="s">
        <v>375</v>
      </c>
      <c r="C53" s="2" t="s">
        <v>376</v>
      </c>
      <c r="D53" s="2" t="s">
        <v>377</v>
      </c>
      <c r="E53" s="2"/>
      <c r="F53" s="2" t="s">
        <v>291</v>
      </c>
      <c r="G53" s="2"/>
      <c r="H53" s="22" t="n">
        <f aca="false">Lotes!$F$9</f>
        <v>0.0256</v>
      </c>
    </row>
    <row r="54" customFormat="false" ht="15" hidden="false" customHeight="false" outlineLevel="0" collapsed="false">
      <c r="A54" s="2" t="s">
        <v>378</v>
      </c>
      <c r="B54" s="3" t="s">
        <v>379</v>
      </c>
      <c r="C54" s="2" t="s">
        <v>376</v>
      </c>
      <c r="D54" s="2" t="s">
        <v>377</v>
      </c>
      <c r="E54" s="2"/>
      <c r="F54" s="2" t="s">
        <v>291</v>
      </c>
      <c r="G54" s="2"/>
      <c r="H54" s="22" t="n">
        <f aca="false">Lotes!$F$16</f>
        <v>0.254285714285714</v>
      </c>
    </row>
    <row r="55" customFormat="false" ht="15" hidden="false" customHeight="false" outlineLevel="0" collapsed="false">
      <c r="A55" s="2" t="s">
        <v>380</v>
      </c>
      <c r="B55" s="3" t="s">
        <v>381</v>
      </c>
      <c r="C55" s="2" t="s">
        <v>376</v>
      </c>
      <c r="D55" s="2" t="s">
        <v>377</v>
      </c>
      <c r="E55" s="2"/>
      <c r="F55" s="2" t="s">
        <v>291</v>
      </c>
      <c r="G55" s="2"/>
      <c r="H55" s="22" t="n">
        <f aca="false">Lotes!$F$24</f>
        <v>0.069</v>
      </c>
    </row>
    <row r="56" customFormat="false" ht="15" hidden="false" customHeight="false" outlineLevel="0" collapsed="false">
      <c r="A56" s="2" t="s">
        <v>382</v>
      </c>
      <c r="B56" s="3" t="s">
        <v>383</v>
      </c>
      <c r="C56" s="2" t="s">
        <v>376</v>
      </c>
      <c r="D56" s="2" t="s">
        <v>377</v>
      </c>
      <c r="E56" s="2"/>
      <c r="F56" s="2" t="s">
        <v>291</v>
      </c>
      <c r="G56" s="2"/>
      <c r="H56" s="22" t="n">
        <f aca="false">Lotes!$F$33</f>
        <v>0.0728125</v>
      </c>
    </row>
    <row r="57" customFormat="false" ht="15" hidden="false" customHeight="false" outlineLevel="0" collapsed="false">
      <c r="A57" s="2" t="s">
        <v>384</v>
      </c>
      <c r="B57" s="3" t="s">
        <v>385</v>
      </c>
      <c r="C57" s="2" t="s">
        <v>376</v>
      </c>
      <c r="D57" s="2" t="s">
        <v>377</v>
      </c>
      <c r="E57" s="2"/>
      <c r="F57" s="2" t="s">
        <v>291</v>
      </c>
      <c r="G57" s="2"/>
      <c r="H57" s="22" t="n">
        <f aca="false">Lotes!$F$41</f>
        <v>0.028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2"/>
    <col collapsed="false" customWidth="true" hidden="false" outlineLevel="0" max="4" min="3" style="0" width="10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72"/>
  </cols>
  <sheetData>
    <row r="1" customFormat="false" ht="17.35" hidden="false" customHeight="false" outlineLevel="0" collapsed="false">
      <c r="A1" s="1" t="s">
        <v>386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3" t="s">
        <v>387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31.5" hidden="false" customHeight="true" outlineLevel="0" collapsed="false">
      <c r="A4" s="4" t="s">
        <v>388</v>
      </c>
      <c r="B4" s="4" t="s">
        <v>389</v>
      </c>
      <c r="C4" s="4" t="s">
        <v>390</v>
      </c>
      <c r="D4" s="4" t="s">
        <v>286</v>
      </c>
      <c r="E4" s="4" t="s">
        <v>391</v>
      </c>
      <c r="F4" s="4" t="s">
        <v>392</v>
      </c>
      <c r="G4" s="4" t="s">
        <v>393</v>
      </c>
    </row>
    <row r="5" customFormat="false" ht="26.85" hidden="false" customHeight="false" outlineLevel="0" collapsed="false">
      <c r="A5" s="2" t="s">
        <v>374</v>
      </c>
      <c r="B5" s="2" t="s">
        <v>394</v>
      </c>
      <c r="C5" s="14" t="n">
        <v>32</v>
      </c>
      <c r="D5" s="2" t="s">
        <v>291</v>
      </c>
      <c r="E5" s="20" t="n">
        <v>0.04</v>
      </c>
      <c r="F5" s="9" t="n">
        <f aca="false">C5*E5</f>
        <v>1.28</v>
      </c>
      <c r="G5" s="23" t="s">
        <v>395</v>
      </c>
    </row>
    <row r="6" customFormat="false" ht="15" hidden="false" customHeight="false" outlineLevel="0" collapsed="false">
      <c r="A6" s="3" t="s">
        <v>375</v>
      </c>
      <c r="B6" s="2" t="s">
        <v>396</v>
      </c>
      <c r="C6" s="14" t="n">
        <v>32</v>
      </c>
      <c r="D6" s="2" t="s">
        <v>291</v>
      </c>
      <c r="E6" s="20" t="n">
        <v>0</v>
      </c>
      <c r="F6" s="9" t="n">
        <f aca="false">C6*E6</f>
        <v>0</v>
      </c>
      <c r="G6" s="2"/>
    </row>
    <row r="7" customFormat="false" ht="15" hidden="false" customHeight="false" outlineLevel="0" collapsed="false">
      <c r="A7" s="2"/>
      <c r="B7" s="10" t="s">
        <v>397</v>
      </c>
      <c r="C7" s="2"/>
      <c r="D7" s="2"/>
      <c r="E7" s="2"/>
      <c r="F7" s="24" t="n">
        <f aca="false">SUM(F5:F6)</f>
        <v>1.28</v>
      </c>
      <c r="G7" s="2"/>
    </row>
    <row r="8" customFormat="false" ht="15" hidden="false" customHeight="false" outlineLevel="0" collapsed="false">
      <c r="A8" s="2"/>
      <c r="B8" s="10" t="s">
        <v>398</v>
      </c>
      <c r="C8" s="17" t="n">
        <v>50</v>
      </c>
      <c r="D8" s="2"/>
      <c r="E8" s="2"/>
      <c r="F8" s="2"/>
      <c r="G8" s="3" t="s">
        <v>399</v>
      </c>
    </row>
    <row r="9" customFormat="false" ht="15" hidden="false" customHeight="false" outlineLevel="0" collapsed="false">
      <c r="A9" s="25"/>
      <c r="B9" s="26" t="s">
        <v>400</v>
      </c>
      <c r="C9" s="25"/>
      <c r="D9" s="25"/>
      <c r="E9" s="25"/>
      <c r="F9" s="27" t="n">
        <f aca="false">IFERROR(F7/C8,0)</f>
        <v>0.0256</v>
      </c>
      <c r="G9" s="25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</row>
    <row r="11" customFormat="false" ht="26.85" hidden="false" customHeight="false" outlineLevel="0" collapsed="false">
      <c r="A11" s="2" t="s">
        <v>378</v>
      </c>
      <c r="B11" s="2" t="s">
        <v>401</v>
      </c>
      <c r="C11" s="14" t="n">
        <v>16</v>
      </c>
      <c r="D11" s="2" t="s">
        <v>291</v>
      </c>
      <c r="E11" s="20" t="n">
        <v>0.4</v>
      </c>
      <c r="F11" s="9" t="n">
        <f aca="false">C11*E11</f>
        <v>6.4</v>
      </c>
      <c r="G11" s="23" t="s">
        <v>402</v>
      </c>
    </row>
    <row r="12" customFormat="false" ht="15" hidden="false" customHeight="false" outlineLevel="0" collapsed="false">
      <c r="A12" s="3" t="s">
        <v>379</v>
      </c>
      <c r="B12" s="2" t="s">
        <v>403</v>
      </c>
      <c r="C12" s="14" t="n">
        <v>6</v>
      </c>
      <c r="D12" s="2" t="s">
        <v>291</v>
      </c>
      <c r="E12" s="20" t="n">
        <v>0.12</v>
      </c>
      <c r="F12" s="9" t="n">
        <f aca="false">C12*E12</f>
        <v>0.72</v>
      </c>
      <c r="G12" s="2"/>
    </row>
    <row r="13" customFormat="false" ht="15" hidden="false" customHeight="false" outlineLevel="0" collapsed="false">
      <c r="A13" s="2" t="s">
        <v>378</v>
      </c>
      <c r="B13" s="2" t="s">
        <v>396</v>
      </c>
      <c r="C13" s="14" t="n">
        <v>12</v>
      </c>
      <c r="D13" s="2" t="s">
        <v>291</v>
      </c>
      <c r="E13" s="20" t="n">
        <v>0</v>
      </c>
      <c r="F13" s="9" t="n">
        <f aca="false">C13*E13</f>
        <v>0</v>
      </c>
      <c r="G13" s="2"/>
    </row>
    <row r="14" customFormat="false" ht="15" hidden="false" customHeight="false" outlineLevel="0" collapsed="false">
      <c r="A14" s="2"/>
      <c r="B14" s="10" t="s">
        <v>397</v>
      </c>
      <c r="C14" s="2"/>
      <c r="D14" s="2"/>
      <c r="E14" s="2"/>
      <c r="F14" s="24" t="n">
        <f aca="false">SUM(F11:F13)</f>
        <v>7.12</v>
      </c>
      <c r="G14" s="2"/>
    </row>
    <row r="15" customFormat="false" ht="15" hidden="false" customHeight="false" outlineLevel="0" collapsed="false">
      <c r="A15" s="2"/>
      <c r="B15" s="10" t="s">
        <v>398</v>
      </c>
      <c r="C15" s="17" t="n">
        <v>28</v>
      </c>
      <c r="D15" s="2"/>
      <c r="E15" s="2"/>
      <c r="F15" s="2"/>
      <c r="G15" s="3" t="s">
        <v>399</v>
      </c>
    </row>
    <row r="16" customFormat="false" ht="15" hidden="false" customHeight="false" outlineLevel="0" collapsed="false">
      <c r="A16" s="25"/>
      <c r="B16" s="26" t="s">
        <v>400</v>
      </c>
      <c r="C16" s="25"/>
      <c r="D16" s="25"/>
      <c r="E16" s="25"/>
      <c r="F16" s="27" t="n">
        <f aca="false">IFERROR(F14/C15,0)</f>
        <v>0.254285714285714</v>
      </c>
      <c r="G16" s="25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</row>
    <row r="18" customFormat="false" ht="26.85" hidden="false" customHeight="false" outlineLevel="0" collapsed="false">
      <c r="A18" s="2" t="s">
        <v>380</v>
      </c>
      <c r="B18" s="2" t="s">
        <v>394</v>
      </c>
      <c r="C18" s="14" t="n">
        <v>32</v>
      </c>
      <c r="D18" s="2" t="s">
        <v>291</v>
      </c>
      <c r="E18" s="20" t="n">
        <v>0.04</v>
      </c>
      <c r="F18" s="9" t="n">
        <f aca="false">C18*E18</f>
        <v>1.28</v>
      </c>
      <c r="G18" s="23" t="s">
        <v>404</v>
      </c>
    </row>
    <row r="19" customFormat="false" ht="15" hidden="false" customHeight="false" outlineLevel="0" collapsed="false">
      <c r="A19" s="3" t="s">
        <v>381</v>
      </c>
      <c r="B19" s="2" t="s">
        <v>396</v>
      </c>
      <c r="C19" s="14" t="n">
        <v>32</v>
      </c>
      <c r="D19" s="2" t="s">
        <v>291</v>
      </c>
      <c r="E19" s="20" t="n">
        <v>0</v>
      </c>
      <c r="F19" s="9" t="n">
        <f aca="false">C19*E19</f>
        <v>0</v>
      </c>
      <c r="G19" s="2"/>
    </row>
    <row r="20" customFormat="false" ht="15" hidden="false" customHeight="false" outlineLevel="0" collapsed="false">
      <c r="A20" s="2" t="s">
        <v>380</v>
      </c>
      <c r="B20" s="2" t="s">
        <v>405</v>
      </c>
      <c r="C20" s="14" t="n">
        <v>4</v>
      </c>
      <c r="D20" s="2" t="s">
        <v>316</v>
      </c>
      <c r="E20" s="20" t="n">
        <v>0.25</v>
      </c>
      <c r="F20" s="9" t="n">
        <f aca="false">C20*E20</f>
        <v>1</v>
      </c>
      <c r="G20" s="2"/>
    </row>
    <row r="21" customFormat="false" ht="15" hidden="false" customHeight="false" outlineLevel="0" collapsed="false">
      <c r="A21" s="2" t="s">
        <v>380</v>
      </c>
      <c r="B21" s="2" t="s">
        <v>403</v>
      </c>
      <c r="C21" s="14" t="n">
        <v>4</v>
      </c>
      <c r="D21" s="2" t="s">
        <v>291</v>
      </c>
      <c r="E21" s="20" t="n">
        <v>0.12</v>
      </c>
      <c r="F21" s="9" t="n">
        <f aca="false">C21*E21</f>
        <v>0.48</v>
      </c>
      <c r="G21" s="2"/>
    </row>
    <row r="22" customFormat="false" ht="15" hidden="false" customHeight="false" outlineLevel="0" collapsed="false">
      <c r="A22" s="2"/>
      <c r="B22" s="10" t="s">
        <v>397</v>
      </c>
      <c r="C22" s="2"/>
      <c r="D22" s="2"/>
      <c r="E22" s="2"/>
      <c r="F22" s="24" t="n">
        <f aca="false">SUM(F18:F21)</f>
        <v>2.76</v>
      </c>
      <c r="G22" s="2"/>
    </row>
    <row r="23" customFormat="false" ht="15" hidden="false" customHeight="false" outlineLevel="0" collapsed="false">
      <c r="A23" s="2"/>
      <c r="B23" s="10" t="s">
        <v>398</v>
      </c>
      <c r="C23" s="17" t="n">
        <v>40</v>
      </c>
      <c r="D23" s="2"/>
      <c r="E23" s="2"/>
      <c r="F23" s="2"/>
      <c r="G23" s="3" t="s">
        <v>399</v>
      </c>
    </row>
    <row r="24" customFormat="false" ht="15" hidden="false" customHeight="false" outlineLevel="0" collapsed="false">
      <c r="A24" s="25"/>
      <c r="B24" s="26" t="s">
        <v>400</v>
      </c>
      <c r="C24" s="25"/>
      <c r="D24" s="25"/>
      <c r="E24" s="25"/>
      <c r="F24" s="27" t="n">
        <f aca="false">IFERROR(F22/C23,0)</f>
        <v>0.069</v>
      </c>
      <c r="G24" s="25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</row>
    <row r="26" customFormat="false" ht="26.85" hidden="false" customHeight="false" outlineLevel="0" collapsed="false">
      <c r="A26" s="2" t="s">
        <v>382</v>
      </c>
      <c r="B26" s="2" t="s">
        <v>406</v>
      </c>
      <c r="C26" s="14" t="n">
        <v>4</v>
      </c>
      <c r="D26" s="2" t="s">
        <v>291</v>
      </c>
      <c r="E26" s="20" t="n">
        <v>0.6</v>
      </c>
      <c r="F26" s="9" t="n">
        <f aca="false">C26*E26</f>
        <v>2.4</v>
      </c>
      <c r="G26" s="23" t="s">
        <v>407</v>
      </c>
    </row>
    <row r="27" customFormat="false" ht="15" hidden="false" customHeight="false" outlineLevel="0" collapsed="false">
      <c r="A27" s="3" t="s">
        <v>383</v>
      </c>
      <c r="B27" s="2" t="s">
        <v>394</v>
      </c>
      <c r="C27" s="14" t="n">
        <v>32</v>
      </c>
      <c r="D27" s="2" t="s">
        <v>291</v>
      </c>
      <c r="E27" s="20" t="n">
        <v>0.04</v>
      </c>
      <c r="F27" s="9" t="n">
        <f aca="false">C27*E27</f>
        <v>1.28</v>
      </c>
      <c r="G27" s="2"/>
    </row>
    <row r="28" customFormat="false" ht="15" hidden="false" customHeight="false" outlineLevel="0" collapsed="false">
      <c r="A28" s="2" t="s">
        <v>382</v>
      </c>
      <c r="B28" s="2" t="s">
        <v>403</v>
      </c>
      <c r="C28" s="14" t="n">
        <v>4</v>
      </c>
      <c r="D28" s="2" t="s">
        <v>291</v>
      </c>
      <c r="E28" s="20" t="n">
        <v>0.12</v>
      </c>
      <c r="F28" s="9" t="n">
        <f aca="false">C28*E28</f>
        <v>0.48</v>
      </c>
      <c r="G28" s="2"/>
    </row>
    <row r="29" customFormat="false" ht="15" hidden="false" customHeight="false" outlineLevel="0" collapsed="false">
      <c r="A29" s="2" t="s">
        <v>382</v>
      </c>
      <c r="B29" s="2" t="s">
        <v>408</v>
      </c>
      <c r="C29" s="14" t="n">
        <v>1</v>
      </c>
      <c r="D29" s="2" t="s">
        <v>316</v>
      </c>
      <c r="E29" s="20" t="n">
        <v>0.5</v>
      </c>
      <c r="F29" s="9" t="n">
        <f aca="false">C29*E29</f>
        <v>0.5</v>
      </c>
      <c r="G29" s="2"/>
    </row>
    <row r="30" customFormat="false" ht="15" hidden="false" customHeight="false" outlineLevel="0" collapsed="false">
      <c r="A30" s="2" t="s">
        <v>382</v>
      </c>
      <c r="B30" s="2" t="s">
        <v>396</v>
      </c>
      <c r="C30" s="14" t="n">
        <v>48</v>
      </c>
      <c r="D30" s="2" t="s">
        <v>291</v>
      </c>
      <c r="E30" s="20" t="n">
        <v>0</v>
      </c>
      <c r="F30" s="9" t="n">
        <f aca="false">C30*E30</f>
        <v>0</v>
      </c>
      <c r="G30" s="2"/>
    </row>
    <row r="31" customFormat="false" ht="15" hidden="false" customHeight="false" outlineLevel="0" collapsed="false">
      <c r="A31" s="2"/>
      <c r="B31" s="10" t="s">
        <v>397</v>
      </c>
      <c r="C31" s="2"/>
      <c r="D31" s="2"/>
      <c r="E31" s="2"/>
      <c r="F31" s="24" t="n">
        <f aca="false">SUM(F26:F30)</f>
        <v>4.66</v>
      </c>
      <c r="G31" s="2"/>
    </row>
    <row r="32" customFormat="false" ht="15" hidden="false" customHeight="false" outlineLevel="0" collapsed="false">
      <c r="A32" s="2"/>
      <c r="B32" s="10" t="s">
        <v>398</v>
      </c>
      <c r="C32" s="17" t="n">
        <v>64</v>
      </c>
      <c r="D32" s="2"/>
      <c r="E32" s="2"/>
      <c r="F32" s="2"/>
      <c r="G32" s="3" t="s">
        <v>399</v>
      </c>
    </row>
    <row r="33" customFormat="false" ht="15" hidden="false" customHeight="false" outlineLevel="0" collapsed="false">
      <c r="A33" s="25"/>
      <c r="B33" s="26" t="s">
        <v>400</v>
      </c>
      <c r="C33" s="25"/>
      <c r="D33" s="25"/>
      <c r="E33" s="25"/>
      <c r="F33" s="27" t="n">
        <f aca="false">IFERROR(F31/C32,0)</f>
        <v>0.0728125</v>
      </c>
      <c r="G33" s="25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</row>
    <row r="35" customFormat="false" ht="26.85" hidden="false" customHeight="false" outlineLevel="0" collapsed="false">
      <c r="A35" s="2" t="s">
        <v>384</v>
      </c>
      <c r="B35" s="2" t="s">
        <v>409</v>
      </c>
      <c r="C35" s="14" t="n">
        <v>1</v>
      </c>
      <c r="D35" s="2" t="s">
        <v>316</v>
      </c>
      <c r="E35" s="20" t="n">
        <v>1.5</v>
      </c>
      <c r="F35" s="9" t="n">
        <f aca="false">C35*E35</f>
        <v>1.5</v>
      </c>
      <c r="G35" s="23" t="s">
        <v>410</v>
      </c>
    </row>
    <row r="36" customFormat="false" ht="15" hidden="false" customHeight="false" outlineLevel="0" collapsed="false">
      <c r="A36" s="3" t="s">
        <v>385</v>
      </c>
      <c r="B36" s="2" t="s">
        <v>411</v>
      </c>
      <c r="C36" s="14" t="n">
        <v>16</v>
      </c>
      <c r="D36" s="2" t="s">
        <v>291</v>
      </c>
      <c r="E36" s="20" t="n">
        <v>0.05</v>
      </c>
      <c r="F36" s="9" t="n">
        <f aca="false">C36*E36</f>
        <v>0.8</v>
      </c>
      <c r="G36" s="2"/>
    </row>
    <row r="37" customFormat="false" ht="15" hidden="false" customHeight="false" outlineLevel="0" collapsed="false">
      <c r="A37" s="2" t="s">
        <v>384</v>
      </c>
      <c r="B37" s="2" t="s">
        <v>408</v>
      </c>
      <c r="C37" s="14" t="n">
        <v>1</v>
      </c>
      <c r="D37" s="2" t="s">
        <v>316</v>
      </c>
      <c r="E37" s="20" t="n">
        <v>0.5</v>
      </c>
      <c r="F37" s="9" t="n">
        <f aca="false">C37*E37</f>
        <v>0.5</v>
      </c>
      <c r="G37" s="2"/>
    </row>
    <row r="38" customFormat="false" ht="15" hidden="false" customHeight="false" outlineLevel="0" collapsed="false">
      <c r="A38" s="2" t="s">
        <v>384</v>
      </c>
      <c r="B38" s="2" t="s">
        <v>396</v>
      </c>
      <c r="C38" s="14" t="n">
        <v>96</v>
      </c>
      <c r="D38" s="2" t="s">
        <v>291</v>
      </c>
      <c r="E38" s="20" t="n">
        <v>0</v>
      </c>
      <c r="F38" s="9" t="n">
        <f aca="false">C38*E38</f>
        <v>0</v>
      </c>
      <c r="G38" s="2"/>
    </row>
    <row r="39" customFormat="false" ht="15" hidden="false" customHeight="false" outlineLevel="0" collapsed="false">
      <c r="A39" s="2"/>
      <c r="B39" s="10" t="s">
        <v>397</v>
      </c>
      <c r="C39" s="2"/>
      <c r="D39" s="2"/>
      <c r="E39" s="2"/>
      <c r="F39" s="24" t="n">
        <f aca="false">SUM(F35:F38)</f>
        <v>2.8</v>
      </c>
      <c r="G39" s="2"/>
    </row>
    <row r="40" customFormat="false" ht="15" hidden="false" customHeight="false" outlineLevel="0" collapsed="false">
      <c r="A40" s="2"/>
      <c r="B40" s="10" t="s">
        <v>398</v>
      </c>
      <c r="C40" s="17" t="n">
        <v>100</v>
      </c>
      <c r="D40" s="2"/>
      <c r="E40" s="2"/>
      <c r="F40" s="2"/>
      <c r="G40" s="3" t="s">
        <v>399</v>
      </c>
    </row>
    <row r="41" customFormat="false" ht="15" hidden="false" customHeight="false" outlineLevel="0" collapsed="false">
      <c r="A41" s="25"/>
      <c r="B41" s="26" t="s">
        <v>400</v>
      </c>
      <c r="C41" s="25"/>
      <c r="D41" s="25"/>
      <c r="E41" s="25"/>
      <c r="F41" s="27" t="n">
        <f aca="false">IFERROR(F39/C40,0)</f>
        <v>0.028</v>
      </c>
      <c r="G41" s="2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8"/>
    <col collapsed="false" customWidth="true" hidden="false" outlineLevel="0" max="3" min="3" style="0" width="36"/>
    <col collapsed="false" customWidth="true" hidden="false" outlineLevel="0" max="5" min="4" style="0" width="10"/>
    <col collapsed="false" customWidth="true" hidden="false" outlineLevel="0" max="6" min="6" style="0" width="14"/>
    <col collapsed="false" customWidth="true" hidden="false" outlineLevel="0" max="7" min="7" style="0" width="12"/>
  </cols>
  <sheetData>
    <row r="1" customFormat="false" ht="17.35" hidden="false" customHeight="false" outlineLevel="0" collapsed="false">
      <c r="A1" s="1" t="s">
        <v>412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3" t="s">
        <v>413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31.5" hidden="false" customHeight="true" outlineLevel="0" collapsed="false">
      <c r="A4" s="4" t="s">
        <v>120</v>
      </c>
      <c r="B4" s="4" t="s">
        <v>121</v>
      </c>
      <c r="C4" s="4" t="s">
        <v>389</v>
      </c>
      <c r="D4" s="4" t="s">
        <v>390</v>
      </c>
      <c r="E4" s="4" t="s">
        <v>286</v>
      </c>
      <c r="F4" s="4" t="s">
        <v>391</v>
      </c>
      <c r="G4" s="4" t="s">
        <v>392</v>
      </c>
    </row>
    <row r="5" customFormat="false" ht="15" hidden="false" customHeight="false" outlineLevel="0" collapsed="false">
      <c r="A5" s="2" t="s">
        <v>13</v>
      </c>
      <c r="B5" s="3" t="s">
        <v>13</v>
      </c>
      <c r="C5" s="2" t="s">
        <v>83</v>
      </c>
      <c r="D5" s="14" t="n">
        <v>2</v>
      </c>
      <c r="E5" s="15" t="str">
        <f aca="false">IFERROR(INDEX(Insumos!$F$5:$F$57,MATCH(C5,Insumos!$A$5:$A$57,0)),"?")</f>
        <v>oz</v>
      </c>
      <c r="F5" s="22" t="n">
        <f aca="false">IFERROR(INDEX(Insumos!$H$5:$H$57,MATCH(C5,Insumos!$A$5:$A$57,0)),0)</f>
        <v>0.236686390532544</v>
      </c>
      <c r="G5" s="9" t="n">
        <f aca="false">D5*F5</f>
        <v>0.473372781065089</v>
      </c>
    </row>
    <row r="6" customFormat="false" ht="15" hidden="false" customHeight="false" outlineLevel="0" collapsed="false">
      <c r="A6" s="2" t="s">
        <v>13</v>
      </c>
      <c r="B6" s="3" t="s">
        <v>13</v>
      </c>
      <c r="C6" s="2" t="s">
        <v>338</v>
      </c>
      <c r="D6" s="14" t="n">
        <v>0.5</v>
      </c>
      <c r="E6" s="15" t="str">
        <f aca="false">IFERROR(INDEX(Insumos!$F$5:$F$57,MATCH(C6,Insumos!$A$5:$A$57,0)),"?")</f>
        <v>oz</v>
      </c>
      <c r="F6" s="22" t="n">
        <f aca="false">IFERROR(INDEX(Insumos!$H$5:$H$57,MATCH(C6,Insumos!$A$5:$A$57,0)),0)</f>
        <v>0.2</v>
      </c>
      <c r="G6" s="9" t="n">
        <f aca="false">D6*F6</f>
        <v>0.1</v>
      </c>
    </row>
    <row r="7" customFormat="false" ht="15" hidden="false" customHeight="false" outlineLevel="0" collapsed="false">
      <c r="A7" s="2" t="s">
        <v>13</v>
      </c>
      <c r="B7" s="3" t="s">
        <v>13</v>
      </c>
      <c r="C7" s="2" t="s">
        <v>320</v>
      </c>
      <c r="D7" s="14" t="n">
        <v>4</v>
      </c>
      <c r="E7" s="15" t="str">
        <f aca="false">IFERROR(INDEX(Insumos!$F$5:$F$57,MATCH(C7,Insumos!$A$5:$A$57,0)),"?")</f>
        <v>oz</v>
      </c>
      <c r="F7" s="22" t="n">
        <f aca="false">IFERROR(INDEX(Insumos!$H$5:$H$57,MATCH(C7,Insumos!$A$5:$A$57,0)),0)</f>
        <v>0.116666666666667</v>
      </c>
      <c r="G7" s="9" t="n">
        <f aca="false">D7*F7</f>
        <v>0.466666666666667</v>
      </c>
    </row>
    <row r="8" customFormat="false" ht="15" hidden="false" customHeight="false" outlineLevel="0" collapsed="false">
      <c r="A8" s="2" t="s">
        <v>13</v>
      </c>
      <c r="B8" s="3" t="s">
        <v>13</v>
      </c>
      <c r="C8" s="2" t="s">
        <v>331</v>
      </c>
      <c r="D8" s="14" t="n">
        <v>2</v>
      </c>
      <c r="E8" s="15" t="str">
        <f aca="false">IFERROR(INDEX(Insumos!$F$5:$F$57,MATCH(C8,Insumos!$A$5:$A$57,0)),"?")</f>
        <v>golpe</v>
      </c>
      <c r="F8" s="22" t="n">
        <f aca="false">IFERROR(INDEX(Insumos!$H$5:$H$57,MATCH(C8,Insumos!$A$5:$A$57,0)),0)</f>
        <v>0.0675675675675676</v>
      </c>
      <c r="G8" s="9" t="n">
        <f aca="false">D8*F8</f>
        <v>0.135135135135135</v>
      </c>
    </row>
    <row r="9" customFormat="false" ht="15" hidden="false" customHeight="false" outlineLevel="0" collapsed="false">
      <c r="A9" s="2" t="s">
        <v>15</v>
      </c>
      <c r="B9" s="3" t="s">
        <v>15</v>
      </c>
      <c r="C9" s="2" t="s">
        <v>87</v>
      </c>
      <c r="D9" s="14" t="n">
        <v>1.5</v>
      </c>
      <c r="E9" s="15" t="str">
        <f aca="false">IFERROR(INDEX(Insumos!$F$5:$F$57,MATCH(C9,Insumos!$A$5:$A$57,0)),"?")</f>
        <v>oz</v>
      </c>
      <c r="F9" s="22" t="n">
        <f aca="false">IFERROR(INDEX(Insumos!$H$5:$H$57,MATCH(C9,Insumos!$A$5:$A$57,0)),0)</f>
        <v>0.788643533123028</v>
      </c>
      <c r="G9" s="9" t="n">
        <f aca="false">D9*F9</f>
        <v>1.18296529968454</v>
      </c>
    </row>
    <row r="10" customFormat="false" ht="15" hidden="false" customHeight="false" outlineLevel="0" collapsed="false">
      <c r="A10" s="2" t="s">
        <v>15</v>
      </c>
      <c r="B10" s="3" t="s">
        <v>15</v>
      </c>
      <c r="C10" s="2" t="s">
        <v>344</v>
      </c>
      <c r="D10" s="14" t="n">
        <v>2</v>
      </c>
      <c r="E10" s="15" t="str">
        <f aca="false">IFERROR(INDEX(Insumos!$F$5:$F$57,MATCH(C10,Insumos!$A$5:$A$57,0)),"?")</f>
        <v>oz</v>
      </c>
      <c r="F10" s="22" t="n">
        <f aca="false">IFERROR(INDEX(Insumos!$H$5:$H$57,MATCH(C10,Insumos!$A$5:$A$57,0)),0)</f>
        <v>0.18</v>
      </c>
      <c r="G10" s="9" t="n">
        <f aca="false">D10*F10</f>
        <v>0.36</v>
      </c>
    </row>
    <row r="11" customFormat="false" ht="15" hidden="false" customHeight="false" outlineLevel="0" collapsed="false">
      <c r="A11" s="2" t="s">
        <v>15</v>
      </c>
      <c r="B11" s="3" t="s">
        <v>15</v>
      </c>
      <c r="C11" s="2" t="s">
        <v>338</v>
      </c>
      <c r="D11" s="14" t="n">
        <v>0.5</v>
      </c>
      <c r="E11" s="15" t="str">
        <f aca="false">IFERROR(INDEX(Insumos!$F$5:$F$57,MATCH(C11,Insumos!$A$5:$A$57,0)),"?")</f>
        <v>oz</v>
      </c>
      <c r="F11" s="22" t="n">
        <f aca="false">IFERROR(INDEX(Insumos!$H$5:$H$57,MATCH(C11,Insumos!$A$5:$A$57,0)),0)</f>
        <v>0.2</v>
      </c>
      <c r="G11" s="9" t="n">
        <f aca="false">D11*F11</f>
        <v>0.1</v>
      </c>
    </row>
    <row r="12" customFormat="false" ht="15" hidden="false" customHeight="false" outlineLevel="0" collapsed="false">
      <c r="A12" s="2" t="s">
        <v>15</v>
      </c>
      <c r="B12" s="3" t="s">
        <v>15</v>
      </c>
      <c r="C12" s="2" t="s">
        <v>374</v>
      </c>
      <c r="D12" s="14" t="n">
        <v>0.25</v>
      </c>
      <c r="E12" s="15" t="str">
        <f aca="false">IFERROR(INDEX(Insumos!$F$5:$F$57,MATCH(C12,Insumos!$A$5:$A$57,0)),"?")</f>
        <v>oz</v>
      </c>
      <c r="F12" s="22" t="n">
        <f aca="false">IFERROR(INDEX(Insumos!$H$5:$H$57,MATCH(C12,Insumos!$A$5:$A$57,0)),0)</f>
        <v>0.0256</v>
      </c>
      <c r="G12" s="9" t="n">
        <f aca="false">D12*F12</f>
        <v>0.0064</v>
      </c>
    </row>
    <row r="13" customFormat="false" ht="15" hidden="false" customHeight="false" outlineLevel="0" collapsed="false">
      <c r="A13" s="2" t="s">
        <v>15</v>
      </c>
      <c r="B13" s="3" t="s">
        <v>15</v>
      </c>
      <c r="C13" s="2" t="s">
        <v>327</v>
      </c>
      <c r="D13" s="14" t="n">
        <v>2</v>
      </c>
      <c r="E13" s="15" t="str">
        <f aca="false">IFERROR(INDEX(Insumos!$F$5:$F$57,MATCH(C13,Insumos!$A$5:$A$57,0)),"?")</f>
        <v>oz</v>
      </c>
      <c r="F13" s="22" t="n">
        <f aca="false">IFERROR(INDEX(Insumos!$H$5:$H$57,MATCH(C13,Insumos!$A$5:$A$57,0)),0)</f>
        <v>0.02465483234714</v>
      </c>
      <c r="G13" s="9" t="n">
        <f aca="false">D13*F13</f>
        <v>0.0493096646942801</v>
      </c>
    </row>
    <row r="14" customFormat="false" ht="15" hidden="false" customHeight="false" outlineLevel="0" collapsed="false">
      <c r="A14" s="2" t="s">
        <v>15</v>
      </c>
      <c r="B14" s="3" t="s">
        <v>15</v>
      </c>
      <c r="C14" s="2" t="s">
        <v>369</v>
      </c>
      <c r="D14" s="14" t="n">
        <v>1</v>
      </c>
      <c r="E14" s="15" t="str">
        <f aca="false">IFERROR(INDEX(Insumos!$F$5:$F$57,MATCH(C14,Insumos!$A$5:$A$57,0)),"?")</f>
        <v>unidad</v>
      </c>
      <c r="F14" s="22" t="n">
        <f aca="false">IFERROR(INDEX(Insumos!$H$5:$H$57,MATCH(C14,Insumos!$A$5:$A$57,0)),0)</f>
        <v>0.03</v>
      </c>
      <c r="G14" s="9" t="n">
        <f aca="false">D14*F14</f>
        <v>0.03</v>
      </c>
    </row>
    <row r="15" customFormat="false" ht="15" hidden="false" customHeight="false" outlineLevel="0" collapsed="false">
      <c r="A15" s="2" t="s">
        <v>16</v>
      </c>
      <c r="B15" s="3" t="s">
        <v>16</v>
      </c>
      <c r="C15" s="2" t="s">
        <v>292</v>
      </c>
      <c r="D15" s="14" t="n">
        <v>2</v>
      </c>
      <c r="E15" s="15" t="str">
        <f aca="false">IFERROR(INDEX(Insumos!$F$5:$F$57,MATCH(C15,Insumos!$A$5:$A$57,0)),"?")</f>
        <v>oz</v>
      </c>
      <c r="F15" s="22" t="n">
        <f aca="false">IFERROR(INDEX(Insumos!$H$5:$H$57,MATCH(C15,Insumos!$A$5:$A$57,0)),0)</f>
        <v>0.295857988165681</v>
      </c>
      <c r="G15" s="9" t="n">
        <f aca="false">D15*F15</f>
        <v>0.591715976331361</v>
      </c>
    </row>
    <row r="16" customFormat="false" ht="15" hidden="false" customHeight="false" outlineLevel="0" collapsed="false">
      <c r="A16" s="2" t="s">
        <v>16</v>
      </c>
      <c r="B16" s="3" t="s">
        <v>16</v>
      </c>
      <c r="C16" s="2" t="s">
        <v>356</v>
      </c>
      <c r="D16" s="14" t="n">
        <v>1</v>
      </c>
      <c r="E16" s="15" t="str">
        <f aca="false">IFERROR(INDEX(Insumos!$F$5:$F$57,MATCH(C16,Insumos!$A$5:$A$57,0)),"?")</f>
        <v>oz</v>
      </c>
      <c r="F16" s="22" t="n">
        <f aca="false">IFERROR(INDEX(Insumos!$H$5:$H$57,MATCH(C16,Insumos!$A$5:$A$57,0)),0)</f>
        <v>0.147058823529412</v>
      </c>
      <c r="G16" s="9" t="n">
        <f aca="false">D16*F16</f>
        <v>0.147058823529412</v>
      </c>
    </row>
    <row r="17" customFormat="false" ht="15" hidden="false" customHeight="false" outlineLevel="0" collapsed="false">
      <c r="A17" s="2" t="s">
        <v>16</v>
      </c>
      <c r="B17" s="3" t="s">
        <v>16</v>
      </c>
      <c r="C17" s="2" t="s">
        <v>338</v>
      </c>
      <c r="D17" s="14" t="n">
        <v>0.75</v>
      </c>
      <c r="E17" s="15" t="str">
        <f aca="false">IFERROR(INDEX(Insumos!$F$5:$F$57,MATCH(C17,Insumos!$A$5:$A$57,0)),"?")</f>
        <v>oz</v>
      </c>
      <c r="F17" s="22" t="n">
        <f aca="false">IFERROR(INDEX(Insumos!$H$5:$H$57,MATCH(C17,Insumos!$A$5:$A$57,0)),0)</f>
        <v>0.2</v>
      </c>
      <c r="G17" s="9" t="n">
        <f aca="false">D17*F17</f>
        <v>0.15</v>
      </c>
    </row>
    <row r="18" customFormat="false" ht="15" hidden="false" customHeight="false" outlineLevel="0" collapsed="false">
      <c r="A18" s="2" t="s">
        <v>16</v>
      </c>
      <c r="B18" s="3" t="s">
        <v>16</v>
      </c>
      <c r="C18" s="2" t="s">
        <v>374</v>
      </c>
      <c r="D18" s="14" t="n">
        <v>0.5</v>
      </c>
      <c r="E18" s="15" t="str">
        <f aca="false">IFERROR(INDEX(Insumos!$F$5:$F$57,MATCH(C18,Insumos!$A$5:$A$57,0)),"?")</f>
        <v>oz</v>
      </c>
      <c r="F18" s="22" t="n">
        <f aca="false">IFERROR(INDEX(Insumos!$H$5:$H$57,MATCH(C18,Insumos!$A$5:$A$57,0)),0)</f>
        <v>0.0256</v>
      </c>
      <c r="G18" s="9" t="n">
        <f aca="false">D18*F18</f>
        <v>0.0128</v>
      </c>
    </row>
    <row r="19" customFormat="false" ht="15" hidden="false" customHeight="false" outlineLevel="0" collapsed="false">
      <c r="A19" s="2" t="s">
        <v>16</v>
      </c>
      <c r="B19" s="3" t="s">
        <v>16</v>
      </c>
      <c r="C19" s="2" t="s">
        <v>144</v>
      </c>
      <c r="D19" s="14" t="n">
        <v>1</v>
      </c>
      <c r="E19" s="15" t="str">
        <f aca="false">IFERROR(INDEX(Insumos!$F$5:$F$57,MATCH(C19,Insumos!$A$5:$A$57,0)),"?")</f>
        <v>unidad</v>
      </c>
      <c r="F19" s="22" t="n">
        <f aca="false">IFERROR(INDEX(Insumos!$H$5:$H$57,MATCH(C19,Insumos!$A$5:$A$57,0)),0)</f>
        <v>0.1</v>
      </c>
      <c r="G19" s="9" t="n">
        <f aca="false">D19*F19</f>
        <v>0.1</v>
      </c>
    </row>
    <row r="20" customFormat="false" ht="15" hidden="false" customHeight="false" outlineLevel="0" collapsed="false">
      <c r="A20" s="2" t="s">
        <v>16</v>
      </c>
      <c r="B20" s="3" t="s">
        <v>16</v>
      </c>
      <c r="C20" s="2" t="s">
        <v>327</v>
      </c>
      <c r="D20" s="14" t="n">
        <v>2</v>
      </c>
      <c r="E20" s="15" t="str">
        <f aca="false">IFERROR(INDEX(Insumos!$F$5:$F$57,MATCH(C20,Insumos!$A$5:$A$57,0)),"?")</f>
        <v>oz</v>
      </c>
      <c r="F20" s="22" t="n">
        <f aca="false">IFERROR(INDEX(Insumos!$H$5:$H$57,MATCH(C20,Insumos!$A$5:$A$57,0)),0)</f>
        <v>0.02465483234714</v>
      </c>
      <c r="G20" s="9" t="n">
        <f aca="false">D20*F20</f>
        <v>0.0493096646942801</v>
      </c>
    </row>
    <row r="21" customFormat="false" ht="15" hidden="false" customHeight="false" outlineLevel="0" collapsed="false">
      <c r="A21" s="2" t="s">
        <v>17</v>
      </c>
      <c r="B21" s="3" t="s">
        <v>17</v>
      </c>
      <c r="C21" s="2" t="s">
        <v>88</v>
      </c>
      <c r="D21" s="14" t="n">
        <v>2</v>
      </c>
      <c r="E21" s="15" t="str">
        <f aca="false">IFERROR(INDEX(Insumos!$F$5:$F$57,MATCH(C21,Insumos!$A$5:$A$57,0)),"?")</f>
        <v>oz</v>
      </c>
      <c r="F21" s="22" t="n">
        <f aca="false">IFERROR(INDEX(Insumos!$H$5:$H$57,MATCH(C21,Insumos!$A$5:$A$57,0)),0)</f>
        <v>0.709779179810726</v>
      </c>
      <c r="G21" s="9" t="n">
        <f aca="false">D21*F21</f>
        <v>1.41955835962145</v>
      </c>
    </row>
    <row r="22" customFormat="false" ht="15" hidden="false" customHeight="false" outlineLevel="0" collapsed="false">
      <c r="A22" s="2" t="s">
        <v>17</v>
      </c>
      <c r="B22" s="3" t="s">
        <v>17</v>
      </c>
      <c r="C22" s="2" t="s">
        <v>338</v>
      </c>
      <c r="D22" s="14" t="n">
        <v>0.5</v>
      </c>
      <c r="E22" s="15" t="str">
        <f aca="false">IFERROR(INDEX(Insumos!$F$5:$F$57,MATCH(C22,Insumos!$A$5:$A$57,0)),"?")</f>
        <v>oz</v>
      </c>
      <c r="F22" s="22" t="n">
        <f aca="false">IFERROR(INDEX(Insumos!$H$5:$H$57,MATCH(C22,Insumos!$A$5:$A$57,0)),0)</f>
        <v>0.2</v>
      </c>
      <c r="G22" s="9" t="n">
        <f aca="false">D22*F22</f>
        <v>0.1</v>
      </c>
    </row>
    <row r="23" customFormat="false" ht="15" hidden="false" customHeight="false" outlineLevel="0" collapsed="false">
      <c r="A23" s="2" t="s">
        <v>17</v>
      </c>
      <c r="B23" s="3" t="s">
        <v>17</v>
      </c>
      <c r="C23" s="2" t="s">
        <v>323</v>
      </c>
      <c r="D23" s="14" t="n">
        <v>4</v>
      </c>
      <c r="E23" s="15" t="str">
        <f aca="false">IFERROR(INDEX(Insumos!$F$5:$F$57,MATCH(C23,Insumos!$A$5:$A$57,0)),"?")</f>
        <v>oz</v>
      </c>
      <c r="F23" s="22" t="n">
        <f aca="false">IFERROR(INDEX(Insumos!$H$5:$H$57,MATCH(C23,Insumos!$A$5:$A$57,0)),0)</f>
        <v>0.0486111111111111</v>
      </c>
      <c r="G23" s="9" t="n">
        <f aca="false">D23*F23</f>
        <v>0.194444444444444</v>
      </c>
    </row>
    <row r="24" customFormat="false" ht="15" hidden="false" customHeight="false" outlineLevel="0" collapsed="false">
      <c r="A24" s="2" t="s">
        <v>17</v>
      </c>
      <c r="B24" s="3" t="s">
        <v>17</v>
      </c>
      <c r="C24" s="2" t="s">
        <v>331</v>
      </c>
      <c r="D24" s="14" t="n">
        <v>2</v>
      </c>
      <c r="E24" s="15" t="str">
        <f aca="false">IFERROR(INDEX(Insumos!$F$5:$F$57,MATCH(C24,Insumos!$A$5:$A$57,0)),"?")</f>
        <v>golpe</v>
      </c>
      <c r="F24" s="22" t="n">
        <f aca="false">IFERROR(INDEX(Insumos!$H$5:$H$57,MATCH(C24,Insumos!$A$5:$A$57,0)),0)</f>
        <v>0.0675675675675676</v>
      </c>
      <c r="G24" s="9" t="n">
        <f aca="false">D24*F24</f>
        <v>0.135135135135135</v>
      </c>
    </row>
    <row r="25" customFormat="false" ht="15" hidden="false" customHeight="false" outlineLevel="0" collapsed="false">
      <c r="A25" s="2" t="s">
        <v>18</v>
      </c>
      <c r="B25" s="3" t="s">
        <v>18</v>
      </c>
      <c r="C25" s="2" t="s">
        <v>307</v>
      </c>
      <c r="D25" s="14" t="n">
        <v>2.5</v>
      </c>
      <c r="E25" s="15" t="str">
        <f aca="false">IFERROR(INDEX(Insumos!$F$5:$F$57,MATCH(C25,Insumos!$A$5:$A$57,0)),"?")</f>
        <v>oz</v>
      </c>
      <c r="F25" s="22" t="n">
        <f aca="false">IFERROR(INDEX(Insumos!$H$5:$H$57,MATCH(C25,Insumos!$A$5:$A$57,0)),0)</f>
        <v>0.55205047318612</v>
      </c>
      <c r="G25" s="9" t="n">
        <f aca="false">D25*F25</f>
        <v>1.3801261829653</v>
      </c>
    </row>
    <row r="26" customFormat="false" ht="15" hidden="false" customHeight="false" outlineLevel="0" collapsed="false">
      <c r="A26" s="2" t="s">
        <v>18</v>
      </c>
      <c r="B26" s="3" t="s">
        <v>18</v>
      </c>
      <c r="C26" s="2" t="s">
        <v>325</v>
      </c>
      <c r="D26" s="14" t="n">
        <v>3</v>
      </c>
      <c r="E26" s="15" t="str">
        <f aca="false">IFERROR(INDEX(Insumos!$F$5:$F$57,MATCH(C26,Insumos!$A$5:$A$57,0)),"?")</f>
        <v>oz</v>
      </c>
      <c r="F26" s="22" t="n">
        <f aca="false">IFERROR(INDEX(Insumos!$H$5:$H$57,MATCH(C26,Insumos!$A$5:$A$57,0)),0)</f>
        <v>0.0916666666666667</v>
      </c>
      <c r="G26" s="9" t="n">
        <f aca="false">D26*F26</f>
        <v>0.275</v>
      </c>
    </row>
    <row r="27" customFormat="false" ht="15" hidden="false" customHeight="false" outlineLevel="0" collapsed="false">
      <c r="A27" s="2" t="s">
        <v>18</v>
      </c>
      <c r="B27" s="3" t="s">
        <v>18</v>
      </c>
      <c r="C27" s="2" t="s">
        <v>170</v>
      </c>
      <c r="D27" s="14" t="n">
        <v>1</v>
      </c>
      <c r="E27" s="15" t="str">
        <f aca="false">IFERROR(INDEX(Insumos!$F$5:$F$57,MATCH(C27,Insumos!$A$5:$A$57,0)),"?")</f>
        <v>unidad</v>
      </c>
      <c r="F27" s="22" t="n">
        <f aca="false">IFERROR(INDEX(Insumos!$H$5:$H$57,MATCH(C27,Insumos!$A$5:$A$57,0)),0)</f>
        <v>0.1</v>
      </c>
      <c r="G27" s="9" t="n">
        <f aca="false">D27*F27</f>
        <v>0.1</v>
      </c>
    </row>
    <row r="28" customFormat="false" ht="15" hidden="false" customHeight="false" outlineLevel="0" collapsed="false">
      <c r="A28" s="2" t="s">
        <v>18</v>
      </c>
      <c r="B28" s="3" t="s">
        <v>18</v>
      </c>
      <c r="C28" s="2" t="s">
        <v>144</v>
      </c>
      <c r="D28" s="14" t="n">
        <v>1</v>
      </c>
      <c r="E28" s="15" t="str">
        <f aca="false">IFERROR(INDEX(Insumos!$F$5:$F$57,MATCH(C28,Insumos!$A$5:$A$57,0)),"?")</f>
        <v>unidad</v>
      </c>
      <c r="F28" s="22" t="n">
        <f aca="false">IFERROR(INDEX(Insumos!$H$5:$H$57,MATCH(C28,Insumos!$A$5:$A$57,0)),0)</f>
        <v>0.1</v>
      </c>
      <c r="G28" s="9" t="n">
        <f aca="false">D28*F28</f>
        <v>0.1</v>
      </c>
    </row>
    <row r="29" customFormat="false" ht="15" hidden="false" customHeight="false" outlineLevel="0" collapsed="false">
      <c r="A29" s="2" t="s">
        <v>19</v>
      </c>
      <c r="B29" s="3" t="s">
        <v>19</v>
      </c>
      <c r="C29" s="2" t="s">
        <v>84</v>
      </c>
      <c r="D29" s="14" t="n">
        <v>2</v>
      </c>
      <c r="E29" s="15" t="str">
        <f aca="false">IFERROR(INDEX(Insumos!$F$5:$F$57,MATCH(C29,Insumos!$A$5:$A$57,0)),"?")</f>
        <v>oz</v>
      </c>
      <c r="F29" s="22" t="n">
        <f aca="false">IFERROR(INDEX(Insumos!$H$5:$H$57,MATCH(C29,Insumos!$A$5:$A$57,0)),0)</f>
        <v>0.355029585798817</v>
      </c>
      <c r="G29" s="9" t="n">
        <f aca="false">D29*F29</f>
        <v>0.710059171597633</v>
      </c>
    </row>
    <row r="30" customFormat="false" ht="15" hidden="false" customHeight="false" outlineLevel="0" collapsed="false">
      <c r="A30" s="2" t="s">
        <v>19</v>
      </c>
      <c r="B30" s="3" t="s">
        <v>19</v>
      </c>
      <c r="C30" s="2" t="s">
        <v>380</v>
      </c>
      <c r="D30" s="14" t="n">
        <v>0.75</v>
      </c>
      <c r="E30" s="15" t="str">
        <f aca="false">IFERROR(INDEX(Insumos!$F$5:$F$57,MATCH(C30,Insumos!$A$5:$A$57,0)),"?")</f>
        <v>oz</v>
      </c>
      <c r="F30" s="22" t="n">
        <f aca="false">IFERROR(INDEX(Insumos!$H$5:$H$57,MATCH(C30,Insumos!$A$5:$A$57,0)),0)</f>
        <v>0.069</v>
      </c>
      <c r="G30" s="9" t="n">
        <f aca="false">D30*F30</f>
        <v>0.05175</v>
      </c>
    </row>
    <row r="31" customFormat="false" ht="15" hidden="false" customHeight="false" outlineLevel="0" collapsed="false">
      <c r="A31" s="2" t="s">
        <v>19</v>
      </c>
      <c r="B31" s="3" t="s">
        <v>19</v>
      </c>
      <c r="C31" s="2" t="s">
        <v>338</v>
      </c>
      <c r="D31" s="14" t="n">
        <v>0.75</v>
      </c>
      <c r="E31" s="15" t="str">
        <f aca="false">IFERROR(INDEX(Insumos!$F$5:$F$57,MATCH(C31,Insumos!$A$5:$A$57,0)),"?")</f>
        <v>oz</v>
      </c>
      <c r="F31" s="22" t="n">
        <f aca="false">IFERROR(INDEX(Insumos!$H$5:$H$57,MATCH(C31,Insumos!$A$5:$A$57,0)),0)</f>
        <v>0.2</v>
      </c>
      <c r="G31" s="9" t="n">
        <f aca="false">D31*F31</f>
        <v>0.15</v>
      </c>
    </row>
    <row r="32" customFormat="false" ht="15" hidden="false" customHeight="false" outlineLevel="0" collapsed="false">
      <c r="A32" s="2" t="s">
        <v>19</v>
      </c>
      <c r="B32" s="3" t="s">
        <v>19</v>
      </c>
      <c r="C32" s="2" t="s">
        <v>361</v>
      </c>
      <c r="D32" s="14" t="n">
        <v>1</v>
      </c>
      <c r="E32" s="15" t="str">
        <f aca="false">IFERROR(INDEX(Insumos!$F$5:$F$57,MATCH(C32,Insumos!$A$5:$A$57,0)),"?")</f>
        <v>unidad</v>
      </c>
      <c r="F32" s="22" t="n">
        <f aca="false">IFERROR(INDEX(Insumos!$H$5:$H$57,MATCH(C32,Insumos!$A$5:$A$57,0)),0)</f>
        <v>0.1</v>
      </c>
      <c r="G32" s="9" t="n">
        <f aca="false">D32*F32</f>
        <v>0.1</v>
      </c>
    </row>
    <row r="33" customFormat="false" ht="15" hidden="false" customHeight="false" outlineLevel="0" collapsed="false">
      <c r="A33" s="2" t="s">
        <v>20</v>
      </c>
      <c r="B33" s="3" t="s">
        <v>20</v>
      </c>
      <c r="C33" s="2" t="s">
        <v>89</v>
      </c>
      <c r="D33" s="14" t="n">
        <v>2</v>
      </c>
      <c r="E33" s="15" t="str">
        <f aca="false">IFERROR(INDEX(Insumos!$F$5:$F$57,MATCH(C33,Insumos!$A$5:$A$57,0)),"?")</f>
        <v>oz</v>
      </c>
      <c r="F33" s="22" t="n">
        <f aca="false">IFERROR(INDEX(Insumos!$H$5:$H$57,MATCH(C33,Insumos!$A$5:$A$57,0)),0)</f>
        <v>0.709779179810726</v>
      </c>
      <c r="G33" s="9" t="n">
        <f aca="false">D33*F33</f>
        <v>1.41955835962145</v>
      </c>
    </row>
    <row r="34" customFormat="false" ht="15" hidden="false" customHeight="false" outlineLevel="0" collapsed="false">
      <c r="A34" s="2" t="s">
        <v>20</v>
      </c>
      <c r="B34" s="3" t="s">
        <v>20</v>
      </c>
      <c r="C34" s="2" t="s">
        <v>378</v>
      </c>
      <c r="D34" s="14" t="n">
        <v>0.5</v>
      </c>
      <c r="E34" s="15" t="str">
        <f aca="false">IFERROR(INDEX(Insumos!$F$5:$F$57,MATCH(C34,Insumos!$A$5:$A$57,0)),"?")</f>
        <v>oz</v>
      </c>
      <c r="F34" s="22" t="n">
        <f aca="false">IFERROR(INDEX(Insumos!$H$5:$H$57,MATCH(C34,Insumos!$A$5:$A$57,0)),0)</f>
        <v>0.254285714285714</v>
      </c>
      <c r="G34" s="9" t="n">
        <f aca="false">D34*F34</f>
        <v>0.127142857142857</v>
      </c>
    </row>
    <row r="35" customFormat="false" ht="15" hidden="false" customHeight="false" outlineLevel="0" collapsed="false">
      <c r="A35" s="2" t="s">
        <v>20</v>
      </c>
      <c r="B35" s="3" t="s">
        <v>20</v>
      </c>
      <c r="C35" s="2" t="s">
        <v>342</v>
      </c>
      <c r="D35" s="14" t="n">
        <v>0.5</v>
      </c>
      <c r="E35" s="15" t="str">
        <f aca="false">IFERROR(INDEX(Insumos!$F$5:$F$57,MATCH(C35,Insumos!$A$5:$A$57,0)),"?")</f>
        <v>oz</v>
      </c>
      <c r="F35" s="22" t="n">
        <f aca="false">IFERROR(INDEX(Insumos!$H$5:$H$57,MATCH(C35,Insumos!$A$5:$A$57,0)),0)</f>
        <v>0.3</v>
      </c>
      <c r="G35" s="9" t="n">
        <f aca="false">D35*F35</f>
        <v>0.15</v>
      </c>
    </row>
    <row r="36" customFormat="false" ht="15" hidden="false" customHeight="false" outlineLevel="0" collapsed="false">
      <c r="A36" s="2" t="s">
        <v>20</v>
      </c>
      <c r="B36" s="3" t="s">
        <v>20</v>
      </c>
      <c r="C36" s="2" t="s">
        <v>327</v>
      </c>
      <c r="D36" s="14" t="n">
        <v>4</v>
      </c>
      <c r="E36" s="15" t="str">
        <f aca="false">IFERROR(INDEX(Insumos!$F$5:$F$57,MATCH(C36,Insumos!$A$5:$A$57,0)),"?")</f>
        <v>oz</v>
      </c>
      <c r="F36" s="22" t="n">
        <f aca="false">IFERROR(INDEX(Insumos!$H$5:$H$57,MATCH(C36,Insumos!$A$5:$A$57,0)),0)</f>
        <v>0.02465483234714</v>
      </c>
      <c r="G36" s="9" t="n">
        <f aca="false">D36*F36</f>
        <v>0.0986193293885602</v>
      </c>
    </row>
    <row r="37" customFormat="false" ht="15" hidden="false" customHeight="false" outlineLevel="0" collapsed="false">
      <c r="A37" s="2" t="s">
        <v>21</v>
      </c>
      <c r="B37" s="3" t="s">
        <v>21</v>
      </c>
      <c r="C37" s="2" t="s">
        <v>299</v>
      </c>
      <c r="D37" s="14" t="n">
        <v>1</v>
      </c>
      <c r="E37" s="15" t="str">
        <f aca="false">IFERROR(INDEX(Insumos!$F$5:$F$57,MATCH(C37,Insumos!$A$5:$A$57,0)),"?")</f>
        <v>oz</v>
      </c>
      <c r="F37" s="22" t="n">
        <f aca="false">IFERROR(INDEX(Insumos!$H$5:$H$57,MATCH(C37,Insumos!$A$5:$A$57,0)),0)</f>
        <v>0.867507886435331</v>
      </c>
      <c r="G37" s="9" t="n">
        <f aca="false">D37*F37</f>
        <v>0.867507886435331</v>
      </c>
    </row>
    <row r="38" customFormat="false" ht="15" hidden="false" customHeight="false" outlineLevel="0" collapsed="false">
      <c r="A38" s="2" t="s">
        <v>21</v>
      </c>
      <c r="B38" s="3" t="s">
        <v>21</v>
      </c>
      <c r="C38" s="2" t="s">
        <v>304</v>
      </c>
      <c r="D38" s="14" t="n">
        <v>1</v>
      </c>
      <c r="E38" s="15" t="str">
        <f aca="false">IFERROR(INDEX(Insumos!$F$5:$F$57,MATCH(C38,Insumos!$A$5:$A$57,0)),"?")</f>
        <v>oz</v>
      </c>
      <c r="F38" s="22" t="n">
        <f aca="false">IFERROR(INDEX(Insumos!$H$5:$H$57,MATCH(C38,Insumos!$A$5:$A$57,0)),0)</f>
        <v>0.355029585798817</v>
      </c>
      <c r="G38" s="9" t="n">
        <f aca="false">D38*F38</f>
        <v>0.355029585798817</v>
      </c>
    </row>
    <row r="39" customFormat="false" ht="15" hidden="false" customHeight="false" outlineLevel="0" collapsed="false">
      <c r="A39" s="2" t="s">
        <v>21</v>
      </c>
      <c r="B39" s="3" t="s">
        <v>21</v>
      </c>
      <c r="C39" s="2" t="s">
        <v>309</v>
      </c>
      <c r="D39" s="14" t="n">
        <v>2</v>
      </c>
      <c r="E39" s="15" t="str">
        <f aca="false">IFERROR(INDEX(Insumos!$F$5:$F$57,MATCH(C39,Insumos!$A$5:$A$57,0)),"?")</f>
        <v>oz</v>
      </c>
      <c r="F39" s="22" t="n">
        <f aca="false">IFERROR(INDEX(Insumos!$H$5:$H$57,MATCH(C39,Insumos!$A$5:$A$57,0)),0)</f>
        <v>0.394321766561514</v>
      </c>
      <c r="G39" s="9" t="n">
        <f aca="false">D39*F39</f>
        <v>0.788643533123028</v>
      </c>
    </row>
    <row r="40" customFormat="false" ht="15" hidden="false" customHeight="false" outlineLevel="0" collapsed="false">
      <c r="A40" s="2" t="s">
        <v>21</v>
      </c>
      <c r="B40" s="3" t="s">
        <v>21</v>
      </c>
      <c r="C40" s="2" t="s">
        <v>170</v>
      </c>
      <c r="D40" s="14" t="n">
        <v>1</v>
      </c>
      <c r="E40" s="15" t="str">
        <f aca="false">IFERROR(INDEX(Insumos!$F$5:$F$57,MATCH(C40,Insumos!$A$5:$A$57,0)),"?")</f>
        <v>unidad</v>
      </c>
      <c r="F40" s="22" t="n">
        <f aca="false">IFERROR(INDEX(Insumos!$H$5:$H$57,MATCH(C40,Insumos!$A$5:$A$57,0)),0)</f>
        <v>0.1</v>
      </c>
      <c r="G40" s="9" t="n">
        <f aca="false">D40*F40</f>
        <v>0.1</v>
      </c>
    </row>
    <row r="41" customFormat="false" ht="15" hidden="false" customHeight="false" outlineLevel="0" collapsed="false">
      <c r="A41" s="2" t="s">
        <v>22</v>
      </c>
      <c r="B41" s="3" t="s">
        <v>23</v>
      </c>
      <c r="C41" s="2" t="s">
        <v>87</v>
      </c>
      <c r="D41" s="14" t="n">
        <v>1.5</v>
      </c>
      <c r="E41" s="15" t="str">
        <f aca="false">IFERROR(INDEX(Insumos!$F$5:$F$57,MATCH(C41,Insumos!$A$5:$A$57,0)),"?")</f>
        <v>oz</v>
      </c>
      <c r="F41" s="22" t="n">
        <f aca="false">IFERROR(INDEX(Insumos!$H$5:$H$57,MATCH(C41,Insumos!$A$5:$A$57,0)),0)</f>
        <v>0.788643533123028</v>
      </c>
      <c r="G41" s="9" t="n">
        <f aca="false">D41*F41</f>
        <v>1.18296529968454</v>
      </c>
    </row>
    <row r="42" customFormat="false" ht="15" hidden="false" customHeight="false" outlineLevel="0" collapsed="false">
      <c r="A42" s="2" t="s">
        <v>22</v>
      </c>
      <c r="B42" s="3" t="s">
        <v>23</v>
      </c>
      <c r="C42" s="2" t="s">
        <v>297</v>
      </c>
      <c r="D42" s="14" t="n">
        <v>0.75</v>
      </c>
      <c r="E42" s="15" t="str">
        <f aca="false">IFERROR(INDEX(Insumos!$F$5:$F$57,MATCH(C42,Insumos!$A$5:$A$57,0)),"?")</f>
        <v>oz</v>
      </c>
      <c r="F42" s="22" t="n">
        <f aca="false">IFERROR(INDEX(Insumos!$H$5:$H$57,MATCH(C42,Insumos!$A$5:$A$57,0)),0)</f>
        <v>0.295857988165681</v>
      </c>
      <c r="G42" s="9" t="n">
        <f aca="false">D42*F42</f>
        <v>0.22189349112426</v>
      </c>
    </row>
    <row r="43" customFormat="false" ht="15" hidden="false" customHeight="false" outlineLevel="0" collapsed="false">
      <c r="A43" s="2" t="s">
        <v>22</v>
      </c>
      <c r="B43" s="3" t="s">
        <v>23</v>
      </c>
      <c r="C43" s="2" t="s">
        <v>338</v>
      </c>
      <c r="D43" s="14" t="n">
        <v>1</v>
      </c>
      <c r="E43" s="15" t="str">
        <f aca="false">IFERROR(INDEX(Insumos!$F$5:$F$57,MATCH(C43,Insumos!$A$5:$A$57,0)),"?")</f>
        <v>oz</v>
      </c>
      <c r="F43" s="22" t="n">
        <f aca="false">IFERROR(INDEX(Insumos!$H$5:$H$57,MATCH(C43,Insumos!$A$5:$A$57,0)),0)</f>
        <v>0.2</v>
      </c>
      <c r="G43" s="9" t="n">
        <f aca="false">D43*F43</f>
        <v>0.2</v>
      </c>
    </row>
    <row r="44" customFormat="false" ht="15" hidden="false" customHeight="false" outlineLevel="0" collapsed="false">
      <c r="A44" s="2" t="s">
        <v>22</v>
      </c>
      <c r="B44" s="3" t="s">
        <v>23</v>
      </c>
      <c r="C44" s="2" t="s">
        <v>374</v>
      </c>
      <c r="D44" s="14" t="n">
        <v>0.25</v>
      </c>
      <c r="E44" s="15" t="str">
        <f aca="false">IFERROR(INDEX(Insumos!$F$5:$F$57,MATCH(C44,Insumos!$A$5:$A$57,0)),"?")</f>
        <v>oz</v>
      </c>
      <c r="F44" s="22" t="n">
        <f aca="false">IFERROR(INDEX(Insumos!$H$5:$H$57,MATCH(C44,Insumos!$A$5:$A$57,0)),0)</f>
        <v>0.0256</v>
      </c>
      <c r="G44" s="9" t="n">
        <f aca="false">D44*F44</f>
        <v>0.0064</v>
      </c>
    </row>
    <row r="45" customFormat="false" ht="15" hidden="false" customHeight="false" outlineLevel="0" collapsed="false">
      <c r="A45" s="2" t="s">
        <v>22</v>
      </c>
      <c r="B45" s="3" t="s">
        <v>23</v>
      </c>
      <c r="C45" s="2" t="s">
        <v>369</v>
      </c>
      <c r="D45" s="14" t="n">
        <v>1</v>
      </c>
      <c r="E45" s="15" t="str">
        <f aca="false">IFERROR(INDEX(Insumos!$F$5:$F$57,MATCH(C45,Insumos!$A$5:$A$57,0)),"?")</f>
        <v>unidad</v>
      </c>
      <c r="F45" s="22" t="n">
        <f aca="false">IFERROR(INDEX(Insumos!$H$5:$H$57,MATCH(C45,Insumos!$A$5:$A$57,0)),0)</f>
        <v>0.03</v>
      </c>
      <c r="G45" s="9" t="n">
        <f aca="false">D45*F45</f>
        <v>0.03</v>
      </c>
    </row>
    <row r="46" customFormat="false" ht="15" hidden="false" customHeight="false" outlineLevel="0" collapsed="false">
      <c r="A46" s="2" t="s">
        <v>25</v>
      </c>
      <c r="B46" s="3" t="s">
        <v>26</v>
      </c>
      <c r="C46" s="2" t="s">
        <v>87</v>
      </c>
      <c r="D46" s="14" t="n">
        <v>1.5</v>
      </c>
      <c r="E46" s="15" t="str">
        <f aca="false">IFERROR(INDEX(Insumos!$F$5:$F$57,MATCH(C46,Insumos!$A$5:$A$57,0)),"?")</f>
        <v>oz</v>
      </c>
      <c r="F46" s="22" t="n">
        <f aca="false">IFERROR(INDEX(Insumos!$H$5:$H$57,MATCH(C46,Insumos!$A$5:$A$57,0)),0)</f>
        <v>0.788643533123028</v>
      </c>
      <c r="G46" s="9" t="n">
        <f aca="false">D46*F46</f>
        <v>1.18296529968454</v>
      </c>
    </row>
    <row r="47" customFormat="false" ht="15" hidden="false" customHeight="false" outlineLevel="0" collapsed="false">
      <c r="A47" s="2" t="s">
        <v>25</v>
      </c>
      <c r="B47" s="3" t="s">
        <v>26</v>
      </c>
      <c r="C47" s="2" t="s">
        <v>297</v>
      </c>
      <c r="D47" s="14" t="n">
        <v>0.5</v>
      </c>
      <c r="E47" s="15" t="str">
        <f aca="false">IFERROR(INDEX(Insumos!$F$5:$F$57,MATCH(C47,Insumos!$A$5:$A$57,0)),"?")</f>
        <v>oz</v>
      </c>
      <c r="F47" s="22" t="n">
        <f aca="false">IFERROR(INDEX(Insumos!$H$5:$H$57,MATCH(C47,Insumos!$A$5:$A$57,0)),0)</f>
        <v>0.295857988165681</v>
      </c>
      <c r="G47" s="9" t="n">
        <f aca="false">D47*F47</f>
        <v>0.14792899408284</v>
      </c>
    </row>
    <row r="48" customFormat="false" ht="15" hidden="false" customHeight="false" outlineLevel="0" collapsed="false">
      <c r="A48" s="2" t="s">
        <v>25</v>
      </c>
      <c r="B48" s="3" t="s">
        <v>26</v>
      </c>
      <c r="C48" s="2" t="s">
        <v>356</v>
      </c>
      <c r="D48" s="14" t="n">
        <v>1</v>
      </c>
      <c r="E48" s="15" t="str">
        <f aca="false">IFERROR(INDEX(Insumos!$F$5:$F$57,MATCH(C48,Insumos!$A$5:$A$57,0)),"?")</f>
        <v>oz</v>
      </c>
      <c r="F48" s="22" t="n">
        <f aca="false">IFERROR(INDEX(Insumos!$H$5:$H$57,MATCH(C48,Insumos!$A$5:$A$57,0)),0)</f>
        <v>0.147058823529412</v>
      </c>
      <c r="G48" s="9" t="n">
        <f aca="false">D48*F48</f>
        <v>0.147058823529412</v>
      </c>
    </row>
    <row r="49" customFormat="false" ht="15" hidden="false" customHeight="false" outlineLevel="0" collapsed="false">
      <c r="A49" s="2" t="s">
        <v>25</v>
      </c>
      <c r="B49" s="3" t="s">
        <v>26</v>
      </c>
      <c r="C49" s="2" t="s">
        <v>338</v>
      </c>
      <c r="D49" s="14" t="n">
        <v>0.75</v>
      </c>
      <c r="E49" s="15" t="str">
        <f aca="false">IFERROR(INDEX(Insumos!$F$5:$F$57,MATCH(C49,Insumos!$A$5:$A$57,0)),"?")</f>
        <v>oz</v>
      </c>
      <c r="F49" s="22" t="n">
        <f aca="false">IFERROR(INDEX(Insumos!$H$5:$H$57,MATCH(C49,Insumos!$A$5:$A$57,0)),0)</f>
        <v>0.2</v>
      </c>
      <c r="G49" s="9" t="n">
        <f aca="false">D49*F49</f>
        <v>0.15</v>
      </c>
    </row>
    <row r="50" customFormat="false" ht="15" hidden="false" customHeight="false" outlineLevel="0" collapsed="false">
      <c r="A50" s="2" t="s">
        <v>25</v>
      </c>
      <c r="B50" s="3" t="s">
        <v>26</v>
      </c>
      <c r="C50" s="2" t="s">
        <v>374</v>
      </c>
      <c r="D50" s="14" t="n">
        <v>0.25</v>
      </c>
      <c r="E50" s="15" t="str">
        <f aca="false">IFERROR(INDEX(Insumos!$F$5:$F$57,MATCH(C50,Insumos!$A$5:$A$57,0)),"?")</f>
        <v>oz</v>
      </c>
      <c r="F50" s="22" t="n">
        <f aca="false">IFERROR(INDEX(Insumos!$H$5:$H$57,MATCH(C50,Insumos!$A$5:$A$57,0)),0)</f>
        <v>0.0256</v>
      </c>
      <c r="G50" s="9" t="n">
        <f aca="false">D50*F50</f>
        <v>0.0064</v>
      </c>
    </row>
    <row r="51" customFormat="false" ht="15" hidden="false" customHeight="false" outlineLevel="0" collapsed="false">
      <c r="A51" s="2" t="s">
        <v>25</v>
      </c>
      <c r="B51" s="3" t="s">
        <v>26</v>
      </c>
      <c r="C51" s="2" t="s">
        <v>369</v>
      </c>
      <c r="D51" s="14" t="n">
        <v>1</v>
      </c>
      <c r="E51" s="15" t="str">
        <f aca="false">IFERROR(INDEX(Insumos!$F$5:$F$57,MATCH(C51,Insumos!$A$5:$A$57,0)),"?")</f>
        <v>unidad</v>
      </c>
      <c r="F51" s="22" t="n">
        <f aca="false">IFERROR(INDEX(Insumos!$H$5:$H$57,MATCH(C51,Insumos!$A$5:$A$57,0)),0)</f>
        <v>0.03</v>
      </c>
      <c r="G51" s="9" t="n">
        <f aca="false">D51*F51</f>
        <v>0.03</v>
      </c>
    </row>
    <row r="52" customFormat="false" ht="15" hidden="false" customHeight="false" outlineLevel="0" collapsed="false">
      <c r="A52" s="2" t="s">
        <v>27</v>
      </c>
      <c r="B52" s="3" t="s">
        <v>28</v>
      </c>
      <c r="C52" s="2" t="s">
        <v>87</v>
      </c>
      <c r="D52" s="14" t="n">
        <v>1.5</v>
      </c>
      <c r="E52" s="15" t="str">
        <f aca="false">IFERROR(INDEX(Insumos!$F$5:$F$57,MATCH(C52,Insumos!$A$5:$A$57,0)),"?")</f>
        <v>oz</v>
      </c>
      <c r="F52" s="22" t="n">
        <f aca="false">IFERROR(INDEX(Insumos!$H$5:$H$57,MATCH(C52,Insumos!$A$5:$A$57,0)),0)</f>
        <v>0.788643533123028</v>
      </c>
      <c r="G52" s="9" t="n">
        <f aca="false">D52*F52</f>
        <v>1.18296529968454</v>
      </c>
    </row>
    <row r="53" customFormat="false" ht="15" hidden="false" customHeight="false" outlineLevel="0" collapsed="false">
      <c r="A53" s="2" t="s">
        <v>27</v>
      </c>
      <c r="B53" s="3" t="s">
        <v>28</v>
      </c>
      <c r="C53" s="2" t="s">
        <v>297</v>
      </c>
      <c r="D53" s="14" t="n">
        <v>0.5</v>
      </c>
      <c r="E53" s="15" t="str">
        <f aca="false">IFERROR(INDEX(Insumos!$F$5:$F$57,MATCH(C53,Insumos!$A$5:$A$57,0)),"?")</f>
        <v>oz</v>
      </c>
      <c r="F53" s="22" t="n">
        <f aca="false">IFERROR(INDEX(Insumos!$H$5:$H$57,MATCH(C53,Insumos!$A$5:$A$57,0)),0)</f>
        <v>0.295857988165681</v>
      </c>
      <c r="G53" s="9" t="n">
        <f aca="false">D53*F53</f>
        <v>0.14792899408284</v>
      </c>
    </row>
    <row r="54" customFormat="false" ht="15" hidden="false" customHeight="false" outlineLevel="0" collapsed="false">
      <c r="A54" s="2" t="s">
        <v>27</v>
      </c>
      <c r="B54" s="3" t="s">
        <v>28</v>
      </c>
      <c r="C54" s="2" t="s">
        <v>382</v>
      </c>
      <c r="D54" s="14" t="n">
        <v>1</v>
      </c>
      <c r="E54" s="15" t="str">
        <f aca="false">IFERROR(INDEX(Insumos!$F$5:$F$57,MATCH(C54,Insumos!$A$5:$A$57,0)),"?")</f>
        <v>oz</v>
      </c>
      <c r="F54" s="22" t="n">
        <f aca="false">IFERROR(INDEX(Insumos!$H$5:$H$57,MATCH(C54,Insumos!$A$5:$A$57,0)),0)</f>
        <v>0.0728125</v>
      </c>
      <c r="G54" s="9" t="n">
        <f aca="false">D54*F54</f>
        <v>0.0728125</v>
      </c>
    </row>
    <row r="55" customFormat="false" ht="15" hidden="false" customHeight="false" outlineLevel="0" collapsed="false">
      <c r="A55" s="2" t="s">
        <v>27</v>
      </c>
      <c r="B55" s="3" t="s">
        <v>28</v>
      </c>
      <c r="C55" s="2" t="s">
        <v>338</v>
      </c>
      <c r="D55" s="14" t="n">
        <v>1</v>
      </c>
      <c r="E55" s="15" t="str">
        <f aca="false">IFERROR(INDEX(Insumos!$F$5:$F$57,MATCH(C55,Insumos!$A$5:$A$57,0)),"?")</f>
        <v>oz</v>
      </c>
      <c r="F55" s="22" t="n">
        <f aca="false">IFERROR(INDEX(Insumos!$H$5:$H$57,MATCH(C55,Insumos!$A$5:$A$57,0)),0)</f>
        <v>0.2</v>
      </c>
      <c r="G55" s="9" t="n">
        <f aca="false">D55*F55</f>
        <v>0.2</v>
      </c>
    </row>
    <row r="56" customFormat="false" ht="15" hidden="false" customHeight="false" outlineLevel="0" collapsed="false">
      <c r="A56" s="2" t="s">
        <v>27</v>
      </c>
      <c r="B56" s="3" t="s">
        <v>28</v>
      </c>
      <c r="C56" s="2" t="s">
        <v>369</v>
      </c>
      <c r="D56" s="14" t="n">
        <v>1</v>
      </c>
      <c r="E56" s="15" t="str">
        <f aca="false">IFERROR(INDEX(Insumos!$F$5:$F$57,MATCH(C56,Insumos!$A$5:$A$57,0)),"?")</f>
        <v>unidad</v>
      </c>
      <c r="F56" s="22" t="n">
        <f aca="false">IFERROR(INDEX(Insumos!$H$5:$H$57,MATCH(C56,Insumos!$A$5:$A$57,0)),0)</f>
        <v>0.03</v>
      </c>
      <c r="G56" s="9" t="n">
        <f aca="false">D56*F56</f>
        <v>0.03</v>
      </c>
    </row>
    <row r="57" customFormat="false" ht="15" hidden="false" customHeight="false" outlineLevel="0" collapsed="false">
      <c r="A57" s="2" t="s">
        <v>29</v>
      </c>
      <c r="B57" s="3" t="s">
        <v>30</v>
      </c>
      <c r="C57" s="2" t="s">
        <v>292</v>
      </c>
      <c r="D57" s="14" t="n">
        <v>2</v>
      </c>
      <c r="E57" s="15" t="str">
        <f aca="false">IFERROR(INDEX(Insumos!$F$5:$F$57,MATCH(C57,Insumos!$A$5:$A$57,0)),"?")</f>
        <v>oz</v>
      </c>
      <c r="F57" s="22" t="n">
        <f aca="false">IFERROR(INDEX(Insumos!$H$5:$H$57,MATCH(C57,Insumos!$A$5:$A$57,0)),0)</f>
        <v>0.295857988165681</v>
      </c>
      <c r="G57" s="9" t="n">
        <f aca="false">D57*F57</f>
        <v>0.591715976331361</v>
      </c>
    </row>
    <row r="58" customFormat="false" ht="15" hidden="false" customHeight="false" outlineLevel="0" collapsed="false">
      <c r="A58" s="2" t="s">
        <v>29</v>
      </c>
      <c r="B58" s="3" t="s">
        <v>30</v>
      </c>
      <c r="C58" s="2" t="s">
        <v>338</v>
      </c>
      <c r="D58" s="14" t="n">
        <v>0.75</v>
      </c>
      <c r="E58" s="15" t="str">
        <f aca="false">IFERROR(INDEX(Insumos!$F$5:$F$57,MATCH(C58,Insumos!$A$5:$A$57,0)),"?")</f>
        <v>oz</v>
      </c>
      <c r="F58" s="22" t="n">
        <f aca="false">IFERROR(INDEX(Insumos!$H$5:$H$57,MATCH(C58,Insumos!$A$5:$A$57,0)),0)</f>
        <v>0.2</v>
      </c>
      <c r="G58" s="9" t="n">
        <f aca="false">D58*F58</f>
        <v>0.15</v>
      </c>
    </row>
    <row r="59" customFormat="false" ht="15" hidden="false" customHeight="false" outlineLevel="0" collapsed="false">
      <c r="A59" s="2" t="s">
        <v>29</v>
      </c>
      <c r="B59" s="3" t="s">
        <v>30</v>
      </c>
      <c r="C59" s="2" t="s">
        <v>374</v>
      </c>
      <c r="D59" s="14" t="n">
        <v>0.75</v>
      </c>
      <c r="E59" s="15" t="str">
        <f aca="false">IFERROR(INDEX(Insumos!$F$5:$F$57,MATCH(C59,Insumos!$A$5:$A$57,0)),"?")</f>
        <v>oz</v>
      </c>
      <c r="F59" s="22" t="n">
        <f aca="false">IFERROR(INDEX(Insumos!$H$5:$H$57,MATCH(C59,Insumos!$A$5:$A$57,0)),0)</f>
        <v>0.0256</v>
      </c>
      <c r="G59" s="9" t="n">
        <f aca="false">D59*F59</f>
        <v>0.0192</v>
      </c>
    </row>
    <row r="60" customFormat="false" ht="15" hidden="false" customHeight="false" outlineLevel="0" collapsed="false">
      <c r="A60" s="2" t="s">
        <v>29</v>
      </c>
      <c r="B60" s="3" t="s">
        <v>30</v>
      </c>
      <c r="C60" s="2" t="s">
        <v>144</v>
      </c>
      <c r="D60" s="14" t="n">
        <v>1</v>
      </c>
      <c r="E60" s="15" t="str">
        <f aca="false">IFERROR(INDEX(Insumos!$F$5:$F$57,MATCH(C60,Insumos!$A$5:$A$57,0)),"?")</f>
        <v>unidad</v>
      </c>
      <c r="F60" s="22" t="n">
        <f aca="false">IFERROR(INDEX(Insumos!$H$5:$H$57,MATCH(C60,Insumos!$A$5:$A$57,0)),0)</f>
        <v>0.1</v>
      </c>
      <c r="G60" s="9" t="n">
        <f aca="false">D60*F60</f>
        <v>0.1</v>
      </c>
    </row>
    <row r="61" customFormat="false" ht="15" hidden="false" customHeight="false" outlineLevel="0" collapsed="false">
      <c r="A61" s="2" t="s">
        <v>29</v>
      </c>
      <c r="B61" s="3" t="s">
        <v>30</v>
      </c>
      <c r="C61" s="2" t="s">
        <v>327</v>
      </c>
      <c r="D61" s="14" t="n">
        <v>2</v>
      </c>
      <c r="E61" s="15" t="str">
        <f aca="false">IFERROR(INDEX(Insumos!$F$5:$F$57,MATCH(C61,Insumos!$A$5:$A$57,0)),"?")</f>
        <v>oz</v>
      </c>
      <c r="F61" s="22" t="n">
        <f aca="false">IFERROR(INDEX(Insumos!$H$5:$H$57,MATCH(C61,Insumos!$A$5:$A$57,0)),0)</f>
        <v>0.02465483234714</v>
      </c>
      <c r="G61" s="9" t="n">
        <f aca="false">D61*F61</f>
        <v>0.0493096646942801</v>
      </c>
    </row>
    <row r="62" customFormat="false" ht="15" hidden="false" customHeight="false" outlineLevel="0" collapsed="false">
      <c r="A62" s="2" t="s">
        <v>31</v>
      </c>
      <c r="B62" s="3" t="s">
        <v>32</v>
      </c>
      <c r="C62" s="2" t="s">
        <v>292</v>
      </c>
      <c r="D62" s="14" t="n">
        <v>2</v>
      </c>
      <c r="E62" s="15" t="str">
        <f aca="false">IFERROR(INDEX(Insumos!$F$5:$F$57,MATCH(C62,Insumos!$A$5:$A$57,0)),"?")</f>
        <v>oz</v>
      </c>
      <c r="F62" s="22" t="n">
        <f aca="false">IFERROR(INDEX(Insumos!$H$5:$H$57,MATCH(C62,Insumos!$A$5:$A$57,0)),0)</f>
        <v>0.295857988165681</v>
      </c>
      <c r="G62" s="9" t="n">
        <f aca="false">D62*F62</f>
        <v>0.591715976331361</v>
      </c>
    </row>
    <row r="63" customFormat="false" ht="15" hidden="false" customHeight="false" outlineLevel="0" collapsed="false">
      <c r="A63" s="2" t="s">
        <v>31</v>
      </c>
      <c r="B63" s="3" t="s">
        <v>32</v>
      </c>
      <c r="C63" s="2" t="s">
        <v>356</v>
      </c>
      <c r="D63" s="14" t="n">
        <v>1</v>
      </c>
      <c r="E63" s="15" t="str">
        <f aca="false">IFERROR(INDEX(Insumos!$F$5:$F$57,MATCH(C63,Insumos!$A$5:$A$57,0)),"?")</f>
        <v>oz</v>
      </c>
      <c r="F63" s="22" t="n">
        <f aca="false">IFERROR(INDEX(Insumos!$H$5:$H$57,MATCH(C63,Insumos!$A$5:$A$57,0)),0)</f>
        <v>0.147058823529412</v>
      </c>
      <c r="G63" s="9" t="n">
        <f aca="false">D63*F63</f>
        <v>0.147058823529412</v>
      </c>
    </row>
    <row r="64" customFormat="false" ht="15" hidden="false" customHeight="false" outlineLevel="0" collapsed="false">
      <c r="A64" s="2" t="s">
        <v>31</v>
      </c>
      <c r="B64" s="3" t="s">
        <v>32</v>
      </c>
      <c r="C64" s="2" t="s">
        <v>338</v>
      </c>
      <c r="D64" s="14" t="n">
        <v>0.5</v>
      </c>
      <c r="E64" s="15" t="str">
        <f aca="false">IFERROR(INDEX(Insumos!$F$5:$F$57,MATCH(C64,Insumos!$A$5:$A$57,0)),"?")</f>
        <v>oz</v>
      </c>
      <c r="F64" s="22" t="n">
        <f aca="false">IFERROR(INDEX(Insumos!$H$5:$H$57,MATCH(C64,Insumos!$A$5:$A$57,0)),0)</f>
        <v>0.2</v>
      </c>
      <c r="G64" s="9" t="n">
        <f aca="false">D64*F64</f>
        <v>0.1</v>
      </c>
    </row>
    <row r="65" customFormat="false" ht="15" hidden="false" customHeight="false" outlineLevel="0" collapsed="false">
      <c r="A65" s="2" t="s">
        <v>31</v>
      </c>
      <c r="B65" s="3" t="s">
        <v>32</v>
      </c>
      <c r="C65" s="2" t="s">
        <v>374</v>
      </c>
      <c r="D65" s="14" t="n">
        <v>0.5</v>
      </c>
      <c r="E65" s="15" t="str">
        <f aca="false">IFERROR(INDEX(Insumos!$F$5:$F$57,MATCH(C65,Insumos!$A$5:$A$57,0)),"?")</f>
        <v>oz</v>
      </c>
      <c r="F65" s="22" t="n">
        <f aca="false">IFERROR(INDEX(Insumos!$H$5:$H$57,MATCH(C65,Insumos!$A$5:$A$57,0)),0)</f>
        <v>0.0256</v>
      </c>
      <c r="G65" s="9" t="n">
        <f aca="false">D65*F65</f>
        <v>0.0128</v>
      </c>
    </row>
    <row r="66" customFormat="false" ht="15" hidden="false" customHeight="false" outlineLevel="0" collapsed="false">
      <c r="A66" s="2" t="s">
        <v>31</v>
      </c>
      <c r="B66" s="3" t="s">
        <v>32</v>
      </c>
      <c r="C66" s="2" t="s">
        <v>144</v>
      </c>
      <c r="D66" s="14" t="n">
        <v>1</v>
      </c>
      <c r="E66" s="15" t="str">
        <f aca="false">IFERROR(INDEX(Insumos!$F$5:$F$57,MATCH(C66,Insumos!$A$5:$A$57,0)),"?")</f>
        <v>unidad</v>
      </c>
      <c r="F66" s="22" t="n">
        <f aca="false">IFERROR(INDEX(Insumos!$H$5:$H$57,MATCH(C66,Insumos!$A$5:$A$57,0)),0)</f>
        <v>0.1</v>
      </c>
      <c r="G66" s="9" t="n">
        <f aca="false">D66*F66</f>
        <v>0.1</v>
      </c>
    </row>
    <row r="67" customFormat="false" ht="15" hidden="false" customHeight="false" outlineLevel="0" collapsed="false">
      <c r="A67" s="2" t="s">
        <v>31</v>
      </c>
      <c r="B67" s="3" t="s">
        <v>32</v>
      </c>
      <c r="C67" s="2" t="s">
        <v>327</v>
      </c>
      <c r="D67" s="14" t="n">
        <v>2</v>
      </c>
      <c r="E67" s="15" t="str">
        <f aca="false">IFERROR(INDEX(Insumos!$F$5:$F$57,MATCH(C67,Insumos!$A$5:$A$57,0)),"?")</f>
        <v>oz</v>
      </c>
      <c r="F67" s="22" t="n">
        <f aca="false">IFERROR(INDEX(Insumos!$H$5:$H$57,MATCH(C67,Insumos!$A$5:$A$57,0)),0)</f>
        <v>0.02465483234714</v>
      </c>
      <c r="G67" s="9" t="n">
        <f aca="false">D67*F67</f>
        <v>0.0493096646942801</v>
      </c>
    </row>
    <row r="68" customFormat="false" ht="15" hidden="false" customHeight="false" outlineLevel="0" collapsed="false">
      <c r="A68" s="2" t="s">
        <v>33</v>
      </c>
      <c r="B68" s="3" t="s">
        <v>33</v>
      </c>
      <c r="C68" s="2" t="s">
        <v>89</v>
      </c>
      <c r="D68" s="14" t="n">
        <v>2</v>
      </c>
      <c r="E68" s="15" t="str">
        <f aca="false">IFERROR(INDEX(Insumos!$F$5:$F$57,MATCH(C68,Insumos!$A$5:$A$57,0)),"?")</f>
        <v>oz</v>
      </c>
      <c r="F68" s="22" t="n">
        <f aca="false">IFERROR(INDEX(Insumos!$H$5:$H$57,MATCH(C68,Insumos!$A$5:$A$57,0)),0)</f>
        <v>0.709779179810726</v>
      </c>
      <c r="G68" s="9" t="n">
        <f aca="false">D68*F68</f>
        <v>1.41955835962145</v>
      </c>
    </row>
    <row r="69" customFormat="false" ht="15" hidden="false" customHeight="false" outlineLevel="0" collapsed="false">
      <c r="A69" s="2" t="s">
        <v>33</v>
      </c>
      <c r="B69" s="3" t="s">
        <v>33</v>
      </c>
      <c r="C69" s="2" t="s">
        <v>342</v>
      </c>
      <c r="D69" s="14" t="n">
        <v>0.75</v>
      </c>
      <c r="E69" s="15" t="str">
        <f aca="false">IFERROR(INDEX(Insumos!$F$5:$F$57,MATCH(C69,Insumos!$A$5:$A$57,0)),"?")</f>
        <v>oz</v>
      </c>
      <c r="F69" s="22" t="n">
        <f aca="false">IFERROR(INDEX(Insumos!$H$5:$H$57,MATCH(C69,Insumos!$A$5:$A$57,0)),0)</f>
        <v>0.3</v>
      </c>
      <c r="G69" s="9" t="n">
        <f aca="false">D69*F69</f>
        <v>0.225</v>
      </c>
    </row>
    <row r="70" customFormat="false" ht="15" hidden="false" customHeight="false" outlineLevel="0" collapsed="false">
      <c r="A70" s="2" t="s">
        <v>33</v>
      </c>
      <c r="B70" s="3" t="s">
        <v>33</v>
      </c>
      <c r="C70" s="2" t="s">
        <v>374</v>
      </c>
      <c r="D70" s="14" t="n">
        <v>0.75</v>
      </c>
      <c r="E70" s="15" t="str">
        <f aca="false">IFERROR(INDEX(Insumos!$F$5:$F$57,MATCH(C70,Insumos!$A$5:$A$57,0)),"?")</f>
        <v>oz</v>
      </c>
      <c r="F70" s="22" t="n">
        <f aca="false">IFERROR(INDEX(Insumos!$H$5:$H$57,MATCH(C70,Insumos!$A$5:$A$57,0)),0)</f>
        <v>0.0256</v>
      </c>
      <c r="G70" s="9" t="n">
        <f aca="false">D70*F70</f>
        <v>0.0192</v>
      </c>
    </row>
    <row r="71" customFormat="false" ht="15" hidden="false" customHeight="false" outlineLevel="0" collapsed="false">
      <c r="A71" s="2" t="s">
        <v>33</v>
      </c>
      <c r="B71" s="3" t="s">
        <v>33</v>
      </c>
      <c r="C71" s="2" t="s">
        <v>351</v>
      </c>
      <c r="D71" s="14" t="n">
        <v>1</v>
      </c>
      <c r="E71" s="15" t="str">
        <f aca="false">IFERROR(INDEX(Insumos!$F$5:$F$57,MATCH(C71,Insumos!$A$5:$A$57,0)),"?")</f>
        <v>unidad</v>
      </c>
      <c r="F71" s="22" t="n">
        <f aca="false">IFERROR(INDEX(Insumos!$H$5:$H$57,MATCH(C71,Insumos!$A$5:$A$57,0)),0)</f>
        <v>0.166666666666667</v>
      </c>
      <c r="G71" s="9" t="n">
        <f aca="false">D71*F71</f>
        <v>0.166666666666667</v>
      </c>
    </row>
    <row r="72" customFormat="false" ht="15" hidden="false" customHeight="false" outlineLevel="0" collapsed="false">
      <c r="A72" s="2" t="s">
        <v>33</v>
      </c>
      <c r="B72" s="3" t="s">
        <v>33</v>
      </c>
      <c r="C72" s="2" t="s">
        <v>331</v>
      </c>
      <c r="D72" s="14" t="n">
        <v>2</v>
      </c>
      <c r="E72" s="15" t="str">
        <f aca="false">IFERROR(INDEX(Insumos!$F$5:$F$57,MATCH(C72,Insumos!$A$5:$A$57,0)),"?")</f>
        <v>golpe</v>
      </c>
      <c r="F72" s="22" t="n">
        <f aca="false">IFERROR(INDEX(Insumos!$H$5:$H$57,MATCH(C72,Insumos!$A$5:$A$57,0)),0)</f>
        <v>0.0675675675675676</v>
      </c>
      <c r="G72" s="9" t="n">
        <f aca="false">D72*F72</f>
        <v>0.135135135135135</v>
      </c>
    </row>
    <row r="73" customFormat="false" ht="15" hidden="false" customHeight="false" outlineLevel="0" collapsed="false">
      <c r="A73" s="2" t="s">
        <v>34</v>
      </c>
      <c r="B73" s="3" t="s">
        <v>34</v>
      </c>
      <c r="C73" s="2" t="s">
        <v>84</v>
      </c>
      <c r="D73" s="14" t="n">
        <v>1.5</v>
      </c>
      <c r="E73" s="15" t="str">
        <f aca="false">IFERROR(INDEX(Insumos!$F$5:$F$57,MATCH(C73,Insumos!$A$5:$A$57,0)),"?")</f>
        <v>oz</v>
      </c>
      <c r="F73" s="22" t="n">
        <f aca="false">IFERROR(INDEX(Insumos!$H$5:$H$57,MATCH(C73,Insumos!$A$5:$A$57,0)),0)</f>
        <v>0.355029585798817</v>
      </c>
      <c r="G73" s="9" t="n">
        <f aca="false">D73*F73</f>
        <v>0.532544378698225</v>
      </c>
    </row>
    <row r="74" customFormat="false" ht="15" hidden="false" customHeight="false" outlineLevel="0" collapsed="false">
      <c r="A74" s="2" t="s">
        <v>34</v>
      </c>
      <c r="B74" s="3" t="s">
        <v>34</v>
      </c>
      <c r="C74" s="2" t="s">
        <v>302</v>
      </c>
      <c r="D74" s="14" t="n">
        <v>1</v>
      </c>
      <c r="E74" s="15" t="str">
        <f aca="false">IFERROR(INDEX(Insumos!$F$5:$F$57,MATCH(C74,Insumos!$A$5:$A$57,0)),"?")</f>
        <v>oz</v>
      </c>
      <c r="F74" s="22" t="n">
        <f aca="false">IFERROR(INDEX(Insumos!$H$5:$H$57,MATCH(C74,Insumos!$A$5:$A$57,0)),0)</f>
        <v>0.55205047318612</v>
      </c>
      <c r="G74" s="9" t="n">
        <f aca="false">D74*F74</f>
        <v>0.55205047318612</v>
      </c>
    </row>
    <row r="75" customFormat="false" ht="15" hidden="false" customHeight="false" outlineLevel="0" collapsed="false">
      <c r="A75" s="2" t="s">
        <v>34</v>
      </c>
      <c r="B75" s="3" t="s">
        <v>34</v>
      </c>
      <c r="C75" s="2" t="s">
        <v>338</v>
      </c>
      <c r="D75" s="14" t="n">
        <v>0.5</v>
      </c>
      <c r="E75" s="15" t="str">
        <f aca="false">IFERROR(INDEX(Insumos!$F$5:$F$57,MATCH(C75,Insumos!$A$5:$A$57,0)),"?")</f>
        <v>oz</v>
      </c>
      <c r="F75" s="22" t="n">
        <f aca="false">IFERROR(INDEX(Insumos!$H$5:$H$57,MATCH(C75,Insumos!$A$5:$A$57,0)),0)</f>
        <v>0.2</v>
      </c>
      <c r="G75" s="9" t="n">
        <f aca="false">D75*F75</f>
        <v>0.1</v>
      </c>
    </row>
    <row r="76" customFormat="false" ht="15" hidden="false" customHeight="false" outlineLevel="0" collapsed="false">
      <c r="A76" s="2" t="s">
        <v>34</v>
      </c>
      <c r="B76" s="3" t="s">
        <v>34</v>
      </c>
      <c r="C76" s="2" t="s">
        <v>374</v>
      </c>
      <c r="D76" s="14" t="n">
        <v>0.25</v>
      </c>
      <c r="E76" s="15" t="str">
        <f aca="false">IFERROR(INDEX(Insumos!$F$5:$F$57,MATCH(C76,Insumos!$A$5:$A$57,0)),"?")</f>
        <v>oz</v>
      </c>
      <c r="F76" s="22" t="n">
        <f aca="false">IFERROR(INDEX(Insumos!$H$5:$H$57,MATCH(C76,Insumos!$A$5:$A$57,0)),0)</f>
        <v>0.0256</v>
      </c>
      <c r="G76" s="9" t="n">
        <f aca="false">D76*F76</f>
        <v>0.0064</v>
      </c>
    </row>
    <row r="77" customFormat="false" ht="15" hidden="false" customHeight="false" outlineLevel="0" collapsed="false">
      <c r="A77" s="2" t="s">
        <v>34</v>
      </c>
      <c r="B77" s="3" t="s">
        <v>34</v>
      </c>
      <c r="C77" s="2" t="s">
        <v>198</v>
      </c>
      <c r="D77" s="14" t="n">
        <v>1</v>
      </c>
      <c r="E77" s="15" t="str">
        <f aca="false">IFERROR(INDEX(Insumos!$F$5:$F$57,MATCH(C77,Insumos!$A$5:$A$57,0)),"?")</f>
        <v>unidad</v>
      </c>
      <c r="F77" s="22" t="n">
        <f aca="false">IFERROR(INDEX(Insumos!$H$5:$H$57,MATCH(C77,Insumos!$A$5:$A$57,0)),0)</f>
        <v>0.1</v>
      </c>
      <c r="G77" s="9" t="n">
        <f aca="false">D77*F77</f>
        <v>0.1</v>
      </c>
    </row>
    <row r="78" customFormat="false" ht="15" hidden="false" customHeight="false" outlineLevel="0" collapsed="false">
      <c r="A78" s="2" t="s">
        <v>35</v>
      </c>
      <c r="B78" s="3" t="s">
        <v>35</v>
      </c>
      <c r="C78" s="2" t="s">
        <v>84</v>
      </c>
      <c r="D78" s="14" t="n">
        <v>1.5</v>
      </c>
      <c r="E78" s="15" t="str">
        <f aca="false">IFERROR(INDEX(Insumos!$F$5:$F$57,MATCH(C78,Insumos!$A$5:$A$57,0)),"?")</f>
        <v>oz</v>
      </c>
      <c r="F78" s="22" t="n">
        <f aca="false">IFERROR(INDEX(Insumos!$H$5:$H$57,MATCH(C78,Insumos!$A$5:$A$57,0)),0)</f>
        <v>0.355029585798817</v>
      </c>
      <c r="G78" s="9" t="n">
        <f aca="false">D78*F78</f>
        <v>0.532544378698225</v>
      </c>
    </row>
    <row r="79" customFormat="false" ht="15" hidden="false" customHeight="false" outlineLevel="0" collapsed="false">
      <c r="A79" s="2" t="s">
        <v>35</v>
      </c>
      <c r="B79" s="3" t="s">
        <v>35</v>
      </c>
      <c r="C79" s="2" t="s">
        <v>297</v>
      </c>
      <c r="D79" s="14" t="n">
        <v>0.5</v>
      </c>
      <c r="E79" s="15" t="str">
        <f aca="false">IFERROR(INDEX(Insumos!$F$5:$F$57,MATCH(C79,Insumos!$A$5:$A$57,0)),"?")</f>
        <v>oz</v>
      </c>
      <c r="F79" s="22" t="n">
        <f aca="false">IFERROR(INDEX(Insumos!$H$5:$H$57,MATCH(C79,Insumos!$A$5:$A$57,0)),0)</f>
        <v>0.295857988165681</v>
      </c>
      <c r="G79" s="9" t="n">
        <f aca="false">D79*F79</f>
        <v>0.14792899408284</v>
      </c>
    </row>
    <row r="80" customFormat="false" ht="15" hidden="false" customHeight="false" outlineLevel="0" collapsed="false">
      <c r="A80" s="2" t="s">
        <v>35</v>
      </c>
      <c r="B80" s="3" t="s">
        <v>35</v>
      </c>
      <c r="C80" s="2" t="s">
        <v>346</v>
      </c>
      <c r="D80" s="14" t="n">
        <v>1</v>
      </c>
      <c r="E80" s="15" t="str">
        <f aca="false">IFERROR(INDEX(Insumos!$F$5:$F$57,MATCH(C80,Insumos!$A$5:$A$57,0)),"?")</f>
        <v>oz</v>
      </c>
      <c r="F80" s="22" t="n">
        <f aca="false">IFERROR(INDEX(Insumos!$H$5:$H$57,MATCH(C80,Insumos!$A$5:$A$57,0)),0)</f>
        <v>0.118343195266272</v>
      </c>
      <c r="G80" s="9" t="n">
        <f aca="false">D80*F80</f>
        <v>0.118343195266272</v>
      </c>
    </row>
    <row r="81" customFormat="false" ht="15" hidden="false" customHeight="false" outlineLevel="0" collapsed="false">
      <c r="A81" s="2" t="s">
        <v>35</v>
      </c>
      <c r="B81" s="3" t="s">
        <v>35</v>
      </c>
      <c r="C81" s="2" t="s">
        <v>338</v>
      </c>
      <c r="D81" s="14" t="n">
        <v>0.5</v>
      </c>
      <c r="E81" s="15" t="str">
        <f aca="false">IFERROR(INDEX(Insumos!$F$5:$F$57,MATCH(C81,Insumos!$A$5:$A$57,0)),"?")</f>
        <v>oz</v>
      </c>
      <c r="F81" s="22" t="n">
        <f aca="false">IFERROR(INDEX(Insumos!$H$5:$H$57,MATCH(C81,Insumos!$A$5:$A$57,0)),0)</f>
        <v>0.2</v>
      </c>
      <c r="G81" s="9" t="n">
        <f aca="false">D81*F81</f>
        <v>0.1</v>
      </c>
    </row>
    <row r="82" customFormat="false" ht="15" hidden="false" customHeight="false" outlineLevel="0" collapsed="false">
      <c r="A82" s="2" t="s">
        <v>35</v>
      </c>
      <c r="B82" s="3" t="s">
        <v>35</v>
      </c>
      <c r="C82" s="2" t="s">
        <v>170</v>
      </c>
      <c r="D82" s="14" t="n">
        <v>1</v>
      </c>
      <c r="E82" s="15" t="str">
        <f aca="false">IFERROR(INDEX(Insumos!$F$5:$F$57,MATCH(C82,Insumos!$A$5:$A$57,0)),"?")</f>
        <v>unidad</v>
      </c>
      <c r="F82" s="22" t="n">
        <f aca="false">IFERROR(INDEX(Insumos!$H$5:$H$57,MATCH(C82,Insumos!$A$5:$A$57,0)),0)</f>
        <v>0.1</v>
      </c>
      <c r="G82" s="9" t="n">
        <f aca="false">D82*F82</f>
        <v>0.1</v>
      </c>
    </row>
    <row r="83" customFormat="false" ht="15" hidden="false" customHeight="false" outlineLevel="0" collapsed="false">
      <c r="A83" s="2" t="s">
        <v>36</v>
      </c>
      <c r="B83" s="3" t="s">
        <v>36</v>
      </c>
      <c r="C83" s="2" t="s">
        <v>295</v>
      </c>
      <c r="D83" s="14" t="n">
        <v>2</v>
      </c>
      <c r="E83" s="15" t="str">
        <f aca="false">IFERROR(INDEX(Insumos!$F$5:$F$57,MATCH(C83,Insumos!$A$5:$A$57,0)),"?")</f>
        <v>oz</v>
      </c>
      <c r="F83" s="22" t="n">
        <f aca="false">IFERROR(INDEX(Insumos!$H$5:$H$57,MATCH(C83,Insumos!$A$5:$A$57,0)),0)</f>
        <v>0.709779179810726</v>
      </c>
      <c r="G83" s="9" t="n">
        <f aca="false">D83*F83</f>
        <v>1.41955835962145</v>
      </c>
    </row>
    <row r="84" customFormat="false" ht="15" hidden="false" customHeight="false" outlineLevel="0" collapsed="false">
      <c r="A84" s="2" t="s">
        <v>36</v>
      </c>
      <c r="B84" s="3" t="s">
        <v>36</v>
      </c>
      <c r="C84" s="2" t="s">
        <v>348</v>
      </c>
      <c r="D84" s="14" t="n">
        <v>1</v>
      </c>
      <c r="E84" s="15" t="str">
        <f aca="false">IFERROR(INDEX(Insumos!$F$5:$F$57,MATCH(C84,Insumos!$A$5:$A$57,0)),"?")</f>
        <v>unidad</v>
      </c>
      <c r="F84" s="22" t="n">
        <f aca="false">IFERROR(INDEX(Insumos!$H$5:$H$57,MATCH(C84,Insumos!$A$5:$A$57,0)),0)</f>
        <v>0.15</v>
      </c>
      <c r="G84" s="9" t="n">
        <f aca="false">D84*F84</f>
        <v>0.15</v>
      </c>
    </row>
    <row r="85" customFormat="false" ht="15" hidden="false" customHeight="false" outlineLevel="0" collapsed="false">
      <c r="A85" s="2" t="s">
        <v>36</v>
      </c>
      <c r="B85" s="3" t="s">
        <v>36</v>
      </c>
      <c r="C85" s="2" t="s">
        <v>374</v>
      </c>
      <c r="D85" s="14" t="n">
        <v>0.5</v>
      </c>
      <c r="E85" s="15" t="str">
        <f aca="false">IFERROR(INDEX(Insumos!$F$5:$F$57,MATCH(C85,Insumos!$A$5:$A$57,0)),"?")</f>
        <v>oz</v>
      </c>
      <c r="F85" s="22" t="n">
        <f aca="false">IFERROR(INDEX(Insumos!$H$5:$H$57,MATCH(C85,Insumos!$A$5:$A$57,0)),0)</f>
        <v>0.0256</v>
      </c>
      <c r="G85" s="9" t="n">
        <f aca="false">D85*F85</f>
        <v>0.0128</v>
      </c>
    </row>
    <row r="86" customFormat="false" ht="15" hidden="false" customHeight="false" outlineLevel="0" collapsed="false">
      <c r="A86" s="2" t="s">
        <v>37</v>
      </c>
      <c r="B86" s="3" t="s">
        <v>37</v>
      </c>
      <c r="C86" s="2" t="s">
        <v>84</v>
      </c>
      <c r="D86" s="14" t="n">
        <v>2</v>
      </c>
      <c r="E86" s="15" t="str">
        <f aca="false">IFERROR(INDEX(Insumos!$F$5:$F$57,MATCH(C86,Insumos!$A$5:$A$57,0)),"?")</f>
        <v>oz</v>
      </c>
      <c r="F86" s="22" t="n">
        <f aca="false">IFERROR(INDEX(Insumos!$H$5:$H$57,MATCH(C86,Insumos!$A$5:$A$57,0)),0)</f>
        <v>0.355029585798817</v>
      </c>
      <c r="G86" s="9" t="n">
        <f aca="false">D86*F86</f>
        <v>0.710059171597633</v>
      </c>
    </row>
    <row r="87" customFormat="false" ht="15" hidden="false" customHeight="false" outlineLevel="0" collapsed="false">
      <c r="A87" s="2" t="s">
        <v>37</v>
      </c>
      <c r="B87" s="3" t="s">
        <v>37</v>
      </c>
      <c r="C87" s="2" t="s">
        <v>348</v>
      </c>
      <c r="D87" s="14" t="n">
        <v>1</v>
      </c>
      <c r="E87" s="15" t="str">
        <f aca="false">IFERROR(INDEX(Insumos!$F$5:$F$57,MATCH(C87,Insumos!$A$5:$A$57,0)),"?")</f>
        <v>unidad</v>
      </c>
      <c r="F87" s="22" t="n">
        <f aca="false">IFERROR(INDEX(Insumos!$H$5:$H$57,MATCH(C87,Insumos!$A$5:$A$57,0)),0)</f>
        <v>0.15</v>
      </c>
      <c r="G87" s="9" t="n">
        <f aca="false">D87*F87</f>
        <v>0.15</v>
      </c>
    </row>
    <row r="88" customFormat="false" ht="15" hidden="false" customHeight="false" outlineLevel="0" collapsed="false">
      <c r="A88" s="2" t="s">
        <v>37</v>
      </c>
      <c r="B88" s="3" t="s">
        <v>37</v>
      </c>
      <c r="C88" s="2" t="s">
        <v>374</v>
      </c>
      <c r="D88" s="14" t="n">
        <v>0.5</v>
      </c>
      <c r="E88" s="15" t="str">
        <f aca="false">IFERROR(INDEX(Insumos!$F$5:$F$57,MATCH(C88,Insumos!$A$5:$A$57,0)),"?")</f>
        <v>oz</v>
      </c>
      <c r="F88" s="22" t="n">
        <f aca="false">IFERROR(INDEX(Insumos!$H$5:$H$57,MATCH(C88,Insumos!$A$5:$A$57,0)),0)</f>
        <v>0.0256</v>
      </c>
      <c r="G88" s="9" t="n">
        <f aca="false">D88*F88</f>
        <v>0.0128</v>
      </c>
    </row>
    <row r="89" customFormat="false" ht="15" hidden="false" customHeight="false" outlineLevel="0" collapsed="false">
      <c r="A89" s="2" t="s">
        <v>38</v>
      </c>
      <c r="B89" s="3" t="s">
        <v>39</v>
      </c>
      <c r="C89" s="2" t="s">
        <v>292</v>
      </c>
      <c r="D89" s="14" t="n">
        <v>2</v>
      </c>
      <c r="E89" s="15" t="str">
        <f aca="false">IFERROR(INDEX(Insumos!$F$5:$F$57,MATCH(C89,Insumos!$A$5:$A$57,0)),"?")</f>
        <v>oz</v>
      </c>
      <c r="F89" s="22" t="n">
        <f aca="false">IFERROR(INDEX(Insumos!$H$5:$H$57,MATCH(C89,Insumos!$A$5:$A$57,0)),0)</f>
        <v>0.295857988165681</v>
      </c>
      <c r="G89" s="9" t="n">
        <f aca="false">D89*F89</f>
        <v>0.591715976331361</v>
      </c>
    </row>
    <row r="90" customFormat="false" ht="15" hidden="false" customHeight="false" outlineLevel="0" collapsed="false">
      <c r="A90" s="2" t="s">
        <v>38</v>
      </c>
      <c r="B90" s="3" t="s">
        <v>39</v>
      </c>
      <c r="C90" s="2" t="s">
        <v>338</v>
      </c>
      <c r="D90" s="14" t="n">
        <v>1</v>
      </c>
      <c r="E90" s="15" t="str">
        <f aca="false">IFERROR(INDEX(Insumos!$F$5:$F$57,MATCH(C90,Insumos!$A$5:$A$57,0)),"?")</f>
        <v>oz</v>
      </c>
      <c r="F90" s="22" t="n">
        <f aca="false">IFERROR(INDEX(Insumos!$H$5:$H$57,MATCH(C90,Insumos!$A$5:$A$57,0)),0)</f>
        <v>0.2</v>
      </c>
      <c r="G90" s="9" t="n">
        <f aca="false">D90*F90</f>
        <v>0.2</v>
      </c>
    </row>
    <row r="91" customFormat="false" ht="15" hidden="false" customHeight="false" outlineLevel="0" collapsed="false">
      <c r="A91" s="2" t="s">
        <v>38</v>
      </c>
      <c r="B91" s="3" t="s">
        <v>39</v>
      </c>
      <c r="C91" s="2" t="s">
        <v>374</v>
      </c>
      <c r="D91" s="14" t="n">
        <v>0.75</v>
      </c>
      <c r="E91" s="15" t="str">
        <f aca="false">IFERROR(INDEX(Insumos!$F$5:$F$57,MATCH(C91,Insumos!$A$5:$A$57,0)),"?")</f>
        <v>oz</v>
      </c>
      <c r="F91" s="22" t="n">
        <f aca="false">IFERROR(INDEX(Insumos!$H$5:$H$57,MATCH(C91,Insumos!$A$5:$A$57,0)),0)</f>
        <v>0.0256</v>
      </c>
      <c r="G91" s="9" t="n">
        <f aca="false">D91*F91</f>
        <v>0.0192</v>
      </c>
    </row>
    <row r="92" customFormat="false" ht="15" hidden="false" customHeight="false" outlineLevel="0" collapsed="false">
      <c r="A92" s="2" t="s">
        <v>40</v>
      </c>
      <c r="B92" s="3" t="s">
        <v>40</v>
      </c>
      <c r="C92" s="2" t="s">
        <v>300</v>
      </c>
      <c r="D92" s="14" t="n">
        <v>2</v>
      </c>
      <c r="E92" s="15" t="str">
        <f aca="false">IFERROR(INDEX(Insumos!$F$5:$F$57,MATCH(C92,Insumos!$A$5:$A$57,0)),"?")</f>
        <v>oz</v>
      </c>
      <c r="F92" s="22" t="n">
        <f aca="false">IFERROR(INDEX(Insumos!$H$5:$H$57,MATCH(C92,Insumos!$A$5:$A$57,0)),0)</f>
        <v>0.788643533123028</v>
      </c>
      <c r="G92" s="9" t="n">
        <f aca="false">D92*F92</f>
        <v>1.57728706624606</v>
      </c>
    </row>
    <row r="93" customFormat="false" ht="15" hidden="false" customHeight="false" outlineLevel="0" collapsed="false">
      <c r="A93" s="2" t="s">
        <v>40</v>
      </c>
      <c r="B93" s="3" t="s">
        <v>40</v>
      </c>
      <c r="C93" s="2" t="s">
        <v>309</v>
      </c>
      <c r="D93" s="14" t="n">
        <v>3</v>
      </c>
      <c r="E93" s="15" t="str">
        <f aca="false">IFERROR(INDEX(Insumos!$F$5:$F$57,MATCH(C93,Insumos!$A$5:$A$57,0)),"?")</f>
        <v>oz</v>
      </c>
      <c r="F93" s="22" t="n">
        <f aca="false">IFERROR(INDEX(Insumos!$H$5:$H$57,MATCH(C93,Insumos!$A$5:$A$57,0)),0)</f>
        <v>0.394321766561514</v>
      </c>
      <c r="G93" s="9" t="n">
        <f aca="false">D93*F93</f>
        <v>1.18296529968454</v>
      </c>
    </row>
    <row r="94" customFormat="false" ht="15" hidden="false" customHeight="false" outlineLevel="0" collapsed="false">
      <c r="A94" s="2" t="s">
        <v>40</v>
      </c>
      <c r="B94" s="3" t="s">
        <v>40</v>
      </c>
      <c r="C94" s="2" t="s">
        <v>327</v>
      </c>
      <c r="D94" s="14" t="n">
        <v>1</v>
      </c>
      <c r="E94" s="15" t="str">
        <f aca="false">IFERROR(INDEX(Insumos!$F$5:$F$57,MATCH(C94,Insumos!$A$5:$A$57,0)),"?")</f>
        <v>oz</v>
      </c>
      <c r="F94" s="22" t="n">
        <f aca="false">IFERROR(INDEX(Insumos!$H$5:$H$57,MATCH(C94,Insumos!$A$5:$A$57,0)),0)</f>
        <v>0.02465483234714</v>
      </c>
      <c r="G94" s="9" t="n">
        <f aca="false">D94*F94</f>
        <v>0.02465483234714</v>
      </c>
    </row>
    <row r="95" customFormat="false" ht="15" hidden="false" customHeight="false" outlineLevel="0" collapsed="false">
      <c r="A95" s="2" t="s">
        <v>40</v>
      </c>
      <c r="B95" s="3" t="s">
        <v>40</v>
      </c>
      <c r="C95" s="2" t="s">
        <v>170</v>
      </c>
      <c r="D95" s="14" t="n">
        <v>1</v>
      </c>
      <c r="E95" s="15" t="str">
        <f aca="false">IFERROR(INDEX(Insumos!$F$5:$F$57,MATCH(C95,Insumos!$A$5:$A$57,0)),"?")</f>
        <v>unidad</v>
      </c>
      <c r="F95" s="22" t="n">
        <f aca="false">IFERROR(INDEX(Insumos!$H$5:$H$57,MATCH(C95,Insumos!$A$5:$A$57,0)),0)</f>
        <v>0.1</v>
      </c>
      <c r="G95" s="9" t="n">
        <f aca="false">D95*F95</f>
        <v>0.1</v>
      </c>
    </row>
    <row r="96" customFormat="false" ht="15" hidden="false" customHeight="false" outlineLevel="0" collapsed="false">
      <c r="A96" s="2" t="s">
        <v>41</v>
      </c>
      <c r="B96" s="3" t="s">
        <v>41</v>
      </c>
      <c r="C96" s="2" t="s">
        <v>292</v>
      </c>
      <c r="D96" s="14" t="n">
        <v>2</v>
      </c>
      <c r="E96" s="15" t="str">
        <f aca="false">IFERROR(INDEX(Insumos!$F$5:$F$57,MATCH(C96,Insumos!$A$5:$A$57,0)),"?")</f>
        <v>oz</v>
      </c>
      <c r="F96" s="22" t="n">
        <f aca="false">IFERROR(INDEX(Insumos!$H$5:$H$57,MATCH(C96,Insumos!$A$5:$A$57,0)),0)</f>
        <v>0.295857988165681</v>
      </c>
      <c r="G96" s="9" t="n">
        <f aca="false">D96*F96</f>
        <v>0.591715976331361</v>
      </c>
    </row>
    <row r="97" customFormat="false" ht="15" hidden="false" customHeight="false" outlineLevel="0" collapsed="false">
      <c r="A97" s="2" t="s">
        <v>41</v>
      </c>
      <c r="B97" s="3" t="s">
        <v>41</v>
      </c>
      <c r="C97" s="2" t="s">
        <v>330</v>
      </c>
      <c r="D97" s="14" t="n">
        <v>4</v>
      </c>
      <c r="E97" s="15" t="str">
        <f aca="false">IFERROR(INDEX(Insumos!$F$5:$F$57,MATCH(C97,Insumos!$A$5:$A$57,0)),"?")</f>
        <v>oz</v>
      </c>
      <c r="F97" s="22" t="n">
        <f aca="false">IFERROR(INDEX(Insumos!$H$5:$H$57,MATCH(C97,Insumos!$A$5:$A$57,0)),0)</f>
        <v>0.0486111111111111</v>
      </c>
      <c r="G97" s="9" t="n">
        <f aca="false">D97*F97</f>
        <v>0.194444444444444</v>
      </c>
    </row>
    <row r="98" customFormat="false" ht="15" hidden="false" customHeight="false" outlineLevel="0" collapsed="false">
      <c r="A98" s="2" t="s">
        <v>41</v>
      </c>
      <c r="B98" s="3" t="s">
        <v>41</v>
      </c>
      <c r="C98" s="2" t="s">
        <v>338</v>
      </c>
      <c r="D98" s="14" t="n">
        <v>0.25</v>
      </c>
      <c r="E98" s="15" t="str">
        <f aca="false">IFERROR(INDEX(Insumos!$F$5:$F$57,MATCH(C98,Insumos!$A$5:$A$57,0)),"?")</f>
        <v>oz</v>
      </c>
      <c r="F98" s="22" t="n">
        <f aca="false">IFERROR(INDEX(Insumos!$H$5:$H$57,MATCH(C98,Insumos!$A$5:$A$57,0)),0)</f>
        <v>0.2</v>
      </c>
      <c r="G98" s="9" t="n">
        <f aca="false">D98*F98</f>
        <v>0.05</v>
      </c>
    </row>
    <row r="99" customFormat="false" ht="15" hidden="false" customHeight="false" outlineLevel="0" collapsed="false">
      <c r="A99" s="2" t="s">
        <v>42</v>
      </c>
      <c r="B99" s="3" t="s">
        <v>42</v>
      </c>
      <c r="C99" s="2" t="s">
        <v>296</v>
      </c>
      <c r="D99" s="14" t="n">
        <v>2</v>
      </c>
      <c r="E99" s="15" t="str">
        <f aca="false">IFERROR(INDEX(Insumos!$F$5:$F$57,MATCH(C99,Insumos!$A$5:$A$57,0)),"?")</f>
        <v>oz</v>
      </c>
      <c r="F99" s="22" t="n">
        <f aca="false">IFERROR(INDEX(Insumos!$H$5:$H$57,MATCH(C99,Insumos!$A$5:$A$57,0)),0)</f>
        <v>0.867507886435331</v>
      </c>
      <c r="G99" s="9" t="n">
        <f aca="false">D99*F99</f>
        <v>1.73501577287066</v>
      </c>
    </row>
    <row r="100" customFormat="false" ht="15" hidden="false" customHeight="false" outlineLevel="0" collapsed="false">
      <c r="A100" s="2" t="s">
        <v>42</v>
      </c>
      <c r="B100" s="3" t="s">
        <v>42</v>
      </c>
      <c r="C100" s="2" t="s">
        <v>374</v>
      </c>
      <c r="D100" s="14" t="n">
        <v>0.25</v>
      </c>
      <c r="E100" s="15" t="str">
        <f aca="false">IFERROR(INDEX(Insumos!$F$5:$F$57,MATCH(C100,Insumos!$A$5:$A$57,0)),"?")</f>
        <v>oz</v>
      </c>
      <c r="F100" s="22" t="n">
        <f aca="false">IFERROR(INDEX(Insumos!$H$5:$H$57,MATCH(C100,Insumos!$A$5:$A$57,0)),0)</f>
        <v>0.0256</v>
      </c>
      <c r="G100" s="9" t="n">
        <f aca="false">D100*F100</f>
        <v>0.0064</v>
      </c>
    </row>
    <row r="101" customFormat="false" ht="15" hidden="false" customHeight="false" outlineLevel="0" collapsed="false">
      <c r="A101" s="2" t="s">
        <v>42</v>
      </c>
      <c r="B101" s="3" t="s">
        <v>42</v>
      </c>
      <c r="C101" s="2" t="s">
        <v>331</v>
      </c>
      <c r="D101" s="14" t="n">
        <v>3</v>
      </c>
      <c r="E101" s="15" t="str">
        <f aca="false">IFERROR(INDEX(Insumos!$F$5:$F$57,MATCH(C101,Insumos!$A$5:$A$57,0)),"?")</f>
        <v>golpe</v>
      </c>
      <c r="F101" s="22" t="n">
        <f aca="false">IFERROR(INDEX(Insumos!$H$5:$H$57,MATCH(C101,Insumos!$A$5:$A$57,0)),0)</f>
        <v>0.0675675675675676</v>
      </c>
      <c r="G101" s="9" t="n">
        <f aca="false">D101*F101</f>
        <v>0.202702702702703</v>
      </c>
    </row>
    <row r="102" customFormat="false" ht="15" hidden="false" customHeight="false" outlineLevel="0" collapsed="false">
      <c r="A102" s="2" t="s">
        <v>42</v>
      </c>
      <c r="B102" s="3" t="s">
        <v>42</v>
      </c>
      <c r="C102" s="2" t="s">
        <v>170</v>
      </c>
      <c r="D102" s="14" t="n">
        <v>1</v>
      </c>
      <c r="E102" s="15" t="str">
        <f aca="false">IFERROR(INDEX(Insumos!$F$5:$F$57,MATCH(C102,Insumos!$A$5:$A$57,0)),"?")</f>
        <v>unidad</v>
      </c>
      <c r="F102" s="22" t="n">
        <f aca="false">IFERROR(INDEX(Insumos!$H$5:$H$57,MATCH(C102,Insumos!$A$5:$A$57,0)),0)</f>
        <v>0.1</v>
      </c>
      <c r="G102" s="9" t="n">
        <f aca="false">D102*F102</f>
        <v>0.1</v>
      </c>
    </row>
    <row r="103" customFormat="false" ht="15" hidden="false" customHeight="false" outlineLevel="0" collapsed="false">
      <c r="A103" s="2" t="s">
        <v>43</v>
      </c>
      <c r="B103" s="3" t="s">
        <v>44</v>
      </c>
      <c r="C103" s="2" t="s">
        <v>85</v>
      </c>
      <c r="D103" s="14" t="n">
        <v>2</v>
      </c>
      <c r="E103" s="15" t="str">
        <f aca="false">IFERROR(INDEX(Insumos!$F$5:$F$57,MATCH(C103,Insumos!$A$5:$A$57,0)),"?")</f>
        <v>oz</v>
      </c>
      <c r="F103" s="22" t="n">
        <f aca="false">IFERROR(INDEX(Insumos!$H$5:$H$57,MATCH(C103,Insumos!$A$5:$A$57,0)),0)</f>
        <v>0.630914826498423</v>
      </c>
      <c r="G103" s="9" t="n">
        <f aca="false">D103*F103</f>
        <v>1.26182965299685</v>
      </c>
    </row>
    <row r="104" customFormat="false" ht="15" hidden="false" customHeight="false" outlineLevel="0" collapsed="false">
      <c r="A104" s="2" t="s">
        <v>43</v>
      </c>
      <c r="B104" s="3" t="s">
        <v>44</v>
      </c>
      <c r="C104" s="2" t="s">
        <v>325</v>
      </c>
      <c r="D104" s="14" t="n">
        <v>4</v>
      </c>
      <c r="E104" s="15" t="str">
        <f aca="false">IFERROR(INDEX(Insumos!$F$5:$F$57,MATCH(C104,Insumos!$A$5:$A$57,0)),"?")</f>
        <v>oz</v>
      </c>
      <c r="F104" s="22" t="n">
        <f aca="false">IFERROR(INDEX(Insumos!$H$5:$H$57,MATCH(C104,Insumos!$A$5:$A$57,0)),0)</f>
        <v>0.0916666666666667</v>
      </c>
      <c r="G104" s="9" t="n">
        <f aca="false">D104*F104</f>
        <v>0.366666666666667</v>
      </c>
    </row>
    <row r="105" customFormat="false" ht="15" hidden="false" customHeight="false" outlineLevel="0" collapsed="false">
      <c r="A105" s="2" t="s">
        <v>43</v>
      </c>
      <c r="B105" s="3" t="s">
        <v>44</v>
      </c>
      <c r="C105" s="2" t="s">
        <v>338</v>
      </c>
      <c r="D105" s="14" t="n">
        <v>0.25</v>
      </c>
      <c r="E105" s="15" t="str">
        <f aca="false">IFERROR(INDEX(Insumos!$F$5:$F$57,MATCH(C105,Insumos!$A$5:$A$57,0)),"?")</f>
        <v>oz</v>
      </c>
      <c r="F105" s="22" t="n">
        <f aca="false">IFERROR(INDEX(Insumos!$H$5:$H$57,MATCH(C105,Insumos!$A$5:$A$57,0)),0)</f>
        <v>0.2</v>
      </c>
      <c r="G105" s="9" t="n">
        <f aca="false">D105*F105</f>
        <v>0.05</v>
      </c>
    </row>
    <row r="106" customFormat="false" ht="15" hidden="false" customHeight="false" outlineLevel="0" collapsed="false">
      <c r="A106" s="2" t="s">
        <v>45</v>
      </c>
      <c r="B106" s="3" t="s">
        <v>45</v>
      </c>
      <c r="C106" s="2" t="s">
        <v>46</v>
      </c>
      <c r="D106" s="14" t="n">
        <v>1</v>
      </c>
      <c r="E106" s="15" t="str">
        <f aca="false">IFERROR(INDEX(Insumos!$F$5:$F$57,MATCH(C106,Insumos!$A$5:$A$57,0)),"?")</f>
        <v>unidad</v>
      </c>
      <c r="F106" s="22" t="n">
        <f aca="false">IFERROR(INDEX(Insumos!$H$5:$H$57,MATCH(C106,Insumos!$A$5:$A$57,0)),0)</f>
        <v>0.833333333333333</v>
      </c>
      <c r="G106" s="9" t="n">
        <f aca="false">D106*F106</f>
        <v>0.833333333333333</v>
      </c>
    </row>
    <row r="107" customFormat="false" ht="15" hidden="false" customHeight="false" outlineLevel="0" collapsed="false">
      <c r="A107" s="2" t="s">
        <v>45</v>
      </c>
      <c r="B107" s="3" t="s">
        <v>45</v>
      </c>
      <c r="C107" s="2" t="s">
        <v>335</v>
      </c>
      <c r="D107" s="14" t="n">
        <v>1</v>
      </c>
      <c r="E107" s="15" t="str">
        <f aca="false">IFERROR(INDEX(Insumos!$F$5:$F$57,MATCH(C107,Insumos!$A$5:$A$57,0)),"?")</f>
        <v>unidad</v>
      </c>
      <c r="F107" s="22" t="n">
        <f aca="false">IFERROR(INDEX(Insumos!$H$5:$H$57,MATCH(C107,Insumos!$A$5:$A$57,0)),0)</f>
        <v>0.15</v>
      </c>
      <c r="G107" s="9" t="n">
        <f aca="false">D107*F107</f>
        <v>0.15</v>
      </c>
    </row>
    <row r="108" customFormat="false" ht="15" hidden="false" customHeight="false" outlineLevel="0" collapsed="false">
      <c r="A108" s="2" t="s">
        <v>45</v>
      </c>
      <c r="B108" s="3" t="s">
        <v>45</v>
      </c>
      <c r="C108" s="2" t="s">
        <v>338</v>
      </c>
      <c r="D108" s="14" t="n">
        <v>0.75</v>
      </c>
      <c r="E108" s="15" t="str">
        <f aca="false">IFERROR(INDEX(Insumos!$F$5:$F$57,MATCH(C108,Insumos!$A$5:$A$57,0)),"?")</f>
        <v>oz</v>
      </c>
      <c r="F108" s="22" t="n">
        <f aca="false">IFERROR(INDEX(Insumos!$H$5:$H$57,MATCH(C108,Insumos!$A$5:$A$57,0)),0)</f>
        <v>0.2</v>
      </c>
      <c r="G108" s="9" t="n">
        <f aca="false">D108*F108</f>
        <v>0.15</v>
      </c>
    </row>
    <row r="109" customFormat="false" ht="15" hidden="false" customHeight="false" outlineLevel="0" collapsed="false">
      <c r="A109" s="2" t="s">
        <v>45</v>
      </c>
      <c r="B109" s="3" t="s">
        <v>45</v>
      </c>
      <c r="C109" s="2" t="s">
        <v>369</v>
      </c>
      <c r="D109" s="14" t="n">
        <v>1</v>
      </c>
      <c r="E109" s="15" t="str">
        <f aca="false">IFERROR(INDEX(Insumos!$F$5:$F$57,MATCH(C109,Insumos!$A$5:$A$57,0)),"?")</f>
        <v>unidad</v>
      </c>
      <c r="F109" s="22" t="n">
        <f aca="false">IFERROR(INDEX(Insumos!$H$5:$H$57,MATCH(C109,Insumos!$A$5:$A$57,0)),0)</f>
        <v>0.03</v>
      </c>
      <c r="G109" s="9" t="n">
        <f aca="false">D109*F109</f>
        <v>0.03</v>
      </c>
    </row>
    <row r="110" customFormat="false" ht="15" hidden="false" customHeight="false" outlineLevel="0" collapsed="false">
      <c r="A110" s="2" t="s">
        <v>46</v>
      </c>
      <c r="B110" s="3" t="s">
        <v>47</v>
      </c>
      <c r="C110" s="2" t="s">
        <v>46</v>
      </c>
      <c r="D110" s="14" t="n">
        <v>1</v>
      </c>
      <c r="E110" s="15" t="str">
        <f aca="false">IFERROR(INDEX(Insumos!$F$5:$F$57,MATCH(C110,Insumos!$A$5:$A$57,0)),"?")</f>
        <v>unidad</v>
      </c>
      <c r="F110" s="22" t="n">
        <f aca="false">IFERROR(INDEX(Insumos!$H$5:$H$57,MATCH(C110,Insumos!$A$5:$A$57,0)),0)</f>
        <v>0.833333333333333</v>
      </c>
      <c r="G110" s="9" t="n">
        <f aca="false">D110*F110</f>
        <v>0.833333333333333</v>
      </c>
    </row>
    <row r="111" customFormat="false" ht="15" hidden="false" customHeight="false" outlineLevel="0" collapsed="false">
      <c r="A111" s="2" t="s">
        <v>49</v>
      </c>
      <c r="B111" s="3" t="s">
        <v>50</v>
      </c>
      <c r="C111" s="2" t="s">
        <v>49</v>
      </c>
      <c r="D111" s="14" t="n">
        <v>1</v>
      </c>
      <c r="E111" s="15" t="str">
        <f aca="false">IFERROR(INDEX(Insumos!$F$5:$F$57,MATCH(C111,Insumos!$A$5:$A$57,0)),"?")</f>
        <v>unidad</v>
      </c>
      <c r="F111" s="22" t="n">
        <f aca="false">IFERROR(INDEX(Insumos!$H$5:$H$57,MATCH(C111,Insumos!$A$5:$A$57,0)),0)</f>
        <v>1.58333333333333</v>
      </c>
      <c r="G111" s="9" t="n">
        <f aca="false">D111*F111</f>
        <v>1.58333333333333</v>
      </c>
    </row>
    <row r="112" customFormat="false" ht="15" hidden="false" customHeight="false" outlineLevel="0" collapsed="false">
      <c r="A112" s="2" t="s">
        <v>51</v>
      </c>
      <c r="B112" s="3" t="s">
        <v>52</v>
      </c>
      <c r="C112" s="2" t="s">
        <v>317</v>
      </c>
      <c r="D112" s="14" t="n">
        <v>1</v>
      </c>
      <c r="E112" s="15" t="str">
        <f aca="false">IFERROR(INDEX(Insumos!$F$5:$F$57,MATCH(C112,Insumos!$A$5:$A$57,0)),"?")</f>
        <v>unidad</v>
      </c>
      <c r="F112" s="22" t="n">
        <f aca="false">IFERROR(INDEX(Insumos!$H$5:$H$57,MATCH(C112,Insumos!$A$5:$A$57,0)),0)</f>
        <v>2.5</v>
      </c>
      <c r="G112" s="9" t="n">
        <f aca="false">D112*F112</f>
        <v>2.5</v>
      </c>
    </row>
    <row r="113" customFormat="false" ht="15" hidden="false" customHeight="false" outlineLevel="0" collapsed="false">
      <c r="A113" s="2" t="s">
        <v>53</v>
      </c>
      <c r="B113" s="3" t="s">
        <v>54</v>
      </c>
      <c r="C113" s="2" t="s">
        <v>46</v>
      </c>
      <c r="D113" s="14" t="n">
        <v>5</v>
      </c>
      <c r="E113" s="15" t="str">
        <f aca="false">IFERROR(INDEX(Insumos!$F$5:$F$57,MATCH(C113,Insumos!$A$5:$A$57,0)),"?")</f>
        <v>unidad</v>
      </c>
      <c r="F113" s="22" t="n">
        <f aca="false">IFERROR(INDEX(Insumos!$H$5:$H$57,MATCH(C113,Insumos!$A$5:$A$57,0)),0)</f>
        <v>0.833333333333333</v>
      </c>
      <c r="G113" s="9" t="n">
        <f aca="false">D113*F113</f>
        <v>4.16666666666667</v>
      </c>
    </row>
    <row r="114" customFormat="false" ht="15" hidden="false" customHeight="false" outlineLevel="0" collapsed="false">
      <c r="A114" s="2" t="s">
        <v>55</v>
      </c>
      <c r="B114" s="3" t="s">
        <v>56</v>
      </c>
      <c r="C114" s="2" t="s">
        <v>335</v>
      </c>
      <c r="D114" s="14" t="n">
        <v>1</v>
      </c>
      <c r="E114" s="15" t="str">
        <f aca="false">IFERROR(INDEX(Insumos!$F$5:$F$57,MATCH(C114,Insumos!$A$5:$A$57,0)),"?")</f>
        <v>unidad</v>
      </c>
      <c r="F114" s="22" t="n">
        <f aca="false">IFERROR(INDEX(Insumos!$H$5:$H$57,MATCH(C114,Insumos!$A$5:$A$57,0)),0)</f>
        <v>0.15</v>
      </c>
      <c r="G114" s="9" t="n">
        <f aca="false">D114*F114</f>
        <v>0.15</v>
      </c>
    </row>
    <row r="115" customFormat="false" ht="15" hidden="false" customHeight="false" outlineLevel="0" collapsed="false">
      <c r="A115" s="2" t="s">
        <v>55</v>
      </c>
      <c r="B115" s="3" t="s">
        <v>56</v>
      </c>
      <c r="C115" s="2" t="s">
        <v>338</v>
      </c>
      <c r="D115" s="14" t="n">
        <v>0.75</v>
      </c>
      <c r="E115" s="15" t="str">
        <f aca="false">IFERROR(INDEX(Insumos!$F$5:$F$57,MATCH(C115,Insumos!$A$5:$A$57,0)),"?")</f>
        <v>oz</v>
      </c>
      <c r="F115" s="22" t="n">
        <f aca="false">IFERROR(INDEX(Insumos!$H$5:$H$57,MATCH(C115,Insumos!$A$5:$A$57,0)),0)</f>
        <v>0.2</v>
      </c>
      <c r="G115" s="9" t="n">
        <f aca="false">D115*F115</f>
        <v>0.15</v>
      </c>
    </row>
    <row r="116" customFormat="false" ht="15" hidden="false" customHeight="false" outlineLevel="0" collapsed="false">
      <c r="A116" s="2" t="s">
        <v>55</v>
      </c>
      <c r="B116" s="3" t="s">
        <v>56</v>
      </c>
      <c r="C116" s="2" t="s">
        <v>369</v>
      </c>
      <c r="D116" s="14" t="n">
        <v>1</v>
      </c>
      <c r="E116" s="15" t="str">
        <f aca="false">IFERROR(INDEX(Insumos!$F$5:$F$57,MATCH(C116,Insumos!$A$5:$A$57,0)),"?")</f>
        <v>unidad</v>
      </c>
      <c r="F116" s="22" t="n">
        <f aca="false">IFERROR(INDEX(Insumos!$H$5:$H$57,MATCH(C116,Insumos!$A$5:$A$57,0)),0)</f>
        <v>0.03</v>
      </c>
      <c r="G116" s="9" t="n">
        <f aca="false">D116*F116</f>
        <v>0.03</v>
      </c>
    </row>
    <row r="117" customFormat="false" ht="15" hidden="false" customHeight="false" outlineLevel="0" collapsed="false">
      <c r="A117" s="2" t="s">
        <v>57</v>
      </c>
      <c r="B117" s="3" t="s">
        <v>58</v>
      </c>
      <c r="C117" s="2" t="s">
        <v>310</v>
      </c>
      <c r="D117" s="14" t="n">
        <v>5</v>
      </c>
      <c r="E117" s="15" t="str">
        <f aca="false">IFERROR(INDEX(Insumos!$F$5:$F$57,MATCH(C117,Insumos!$A$5:$A$57,0)),"?")</f>
        <v>oz</v>
      </c>
      <c r="F117" s="22" t="n">
        <f aca="false">IFERROR(INDEX(Insumos!$H$5:$H$57,MATCH(C117,Insumos!$A$5:$A$57,0)),0)</f>
        <v>0.394321766561514</v>
      </c>
      <c r="G117" s="9" t="n">
        <f aca="false">D117*F117</f>
        <v>1.97160883280757</v>
      </c>
    </row>
    <row r="118" customFormat="false" ht="15" hidden="false" customHeight="false" outlineLevel="0" collapsed="false">
      <c r="A118" s="2" t="s">
        <v>60</v>
      </c>
      <c r="B118" s="3" t="s">
        <v>61</v>
      </c>
      <c r="C118" s="2" t="s">
        <v>310</v>
      </c>
      <c r="D118" s="14" t="n">
        <v>25.36</v>
      </c>
      <c r="E118" s="15" t="str">
        <f aca="false">IFERROR(INDEX(Insumos!$F$5:$F$57,MATCH(C118,Insumos!$A$5:$A$57,0)),"?")</f>
        <v>oz</v>
      </c>
      <c r="F118" s="22" t="n">
        <f aca="false">IFERROR(INDEX(Insumos!$H$5:$H$57,MATCH(C118,Insumos!$A$5:$A$57,0)),0)</f>
        <v>0.394321766561514</v>
      </c>
      <c r="G118" s="9" t="n">
        <f aca="false">D118*F118</f>
        <v>10</v>
      </c>
    </row>
    <row r="119" customFormat="false" ht="15" hidden="false" customHeight="false" outlineLevel="0" collapsed="false">
      <c r="A119" s="2" t="s">
        <v>62</v>
      </c>
      <c r="B119" s="3" t="s">
        <v>63</v>
      </c>
      <c r="C119" s="2" t="s">
        <v>311</v>
      </c>
      <c r="D119" s="14" t="n">
        <v>5</v>
      </c>
      <c r="E119" s="15" t="str">
        <f aca="false">IFERROR(INDEX(Insumos!$F$5:$F$57,MATCH(C119,Insumos!$A$5:$A$57,0)),"?")</f>
        <v>oz</v>
      </c>
      <c r="F119" s="22" t="n">
        <f aca="false">IFERROR(INDEX(Insumos!$H$5:$H$57,MATCH(C119,Insumos!$A$5:$A$57,0)),0)</f>
        <v>0.394321766561514</v>
      </c>
      <c r="G119" s="9" t="n">
        <f aca="false">D119*F119</f>
        <v>1.97160883280757</v>
      </c>
    </row>
    <row r="120" customFormat="false" ht="15" hidden="false" customHeight="false" outlineLevel="0" collapsed="false">
      <c r="A120" s="2" t="s">
        <v>64</v>
      </c>
      <c r="B120" s="3" t="s">
        <v>65</v>
      </c>
      <c r="C120" s="2" t="s">
        <v>311</v>
      </c>
      <c r="D120" s="14" t="n">
        <v>25.36</v>
      </c>
      <c r="E120" s="15" t="str">
        <f aca="false">IFERROR(INDEX(Insumos!$F$5:$F$57,MATCH(C120,Insumos!$A$5:$A$57,0)),"?")</f>
        <v>oz</v>
      </c>
      <c r="F120" s="22" t="n">
        <f aca="false">IFERROR(INDEX(Insumos!$H$5:$H$57,MATCH(C120,Insumos!$A$5:$A$57,0)),0)</f>
        <v>0.394321766561514</v>
      </c>
      <c r="G120" s="9" t="n">
        <f aca="false">D120*F120</f>
        <v>10</v>
      </c>
    </row>
    <row r="121" customFormat="false" ht="15" hidden="false" customHeight="false" outlineLevel="0" collapsed="false">
      <c r="A121" s="2" t="s">
        <v>66</v>
      </c>
      <c r="B121" s="3" t="s">
        <v>67</v>
      </c>
      <c r="C121" s="2" t="s">
        <v>312</v>
      </c>
      <c r="D121" s="14" t="n">
        <v>5</v>
      </c>
      <c r="E121" s="15" t="str">
        <f aca="false">IFERROR(INDEX(Insumos!$F$5:$F$57,MATCH(C121,Insumos!$A$5:$A$57,0)),"?")</f>
        <v>oz</v>
      </c>
      <c r="F121" s="22" t="n">
        <f aca="false">IFERROR(INDEX(Insumos!$H$5:$H$57,MATCH(C121,Insumos!$A$5:$A$57,0)),0)</f>
        <v>0.315457413249211</v>
      </c>
      <c r="G121" s="9" t="n">
        <f aca="false">D121*F121</f>
        <v>1.57728706624606</v>
      </c>
    </row>
    <row r="122" customFormat="false" ht="15" hidden="false" customHeight="false" outlineLevel="0" collapsed="false">
      <c r="A122" s="2" t="s">
        <v>68</v>
      </c>
      <c r="B122" s="3" t="s">
        <v>69</v>
      </c>
      <c r="C122" s="2" t="s">
        <v>312</v>
      </c>
      <c r="D122" s="14" t="n">
        <v>25.36</v>
      </c>
      <c r="E122" s="15" t="str">
        <f aca="false">IFERROR(INDEX(Insumos!$F$5:$F$57,MATCH(C122,Insumos!$A$5:$A$57,0)),"?")</f>
        <v>oz</v>
      </c>
      <c r="F122" s="22" t="n">
        <f aca="false">IFERROR(INDEX(Insumos!$H$5:$H$57,MATCH(C122,Insumos!$A$5:$A$57,0)),0)</f>
        <v>0.315457413249211</v>
      </c>
      <c r="G122" s="9" t="n">
        <f aca="false">D122*F122</f>
        <v>8</v>
      </c>
    </row>
    <row r="123" customFormat="false" ht="15" hidden="false" customHeight="false" outlineLevel="0" collapsed="false">
      <c r="A123" s="2" t="s">
        <v>70</v>
      </c>
      <c r="B123" s="3" t="s">
        <v>71</v>
      </c>
      <c r="C123" s="2" t="s">
        <v>313</v>
      </c>
      <c r="D123" s="14" t="n">
        <v>5</v>
      </c>
      <c r="E123" s="15" t="str">
        <f aca="false">IFERROR(INDEX(Insumos!$F$5:$F$57,MATCH(C123,Insumos!$A$5:$A$57,0)),"?")</f>
        <v>oz</v>
      </c>
      <c r="F123" s="22" t="n">
        <f aca="false">IFERROR(INDEX(Insumos!$H$5:$H$57,MATCH(C123,Insumos!$A$5:$A$57,0)),0)</f>
        <v>0.394321766561514</v>
      </c>
      <c r="G123" s="9" t="n">
        <f aca="false">D123*F123</f>
        <v>1.97160883280757</v>
      </c>
    </row>
    <row r="124" customFormat="false" ht="15" hidden="false" customHeight="false" outlineLevel="0" collapsed="false">
      <c r="A124" s="2" t="s">
        <v>72</v>
      </c>
      <c r="B124" s="3" t="s">
        <v>73</v>
      </c>
      <c r="C124" s="2" t="s">
        <v>313</v>
      </c>
      <c r="D124" s="14" t="n">
        <v>25.36</v>
      </c>
      <c r="E124" s="15" t="str">
        <f aca="false">IFERROR(INDEX(Insumos!$F$5:$F$57,MATCH(C124,Insumos!$A$5:$A$57,0)),"?")</f>
        <v>oz</v>
      </c>
      <c r="F124" s="22" t="n">
        <f aca="false">IFERROR(INDEX(Insumos!$H$5:$H$57,MATCH(C124,Insumos!$A$5:$A$57,0)),0)</f>
        <v>0.394321766561514</v>
      </c>
      <c r="G124" s="9" t="n">
        <f aca="false">D124*F124</f>
        <v>10</v>
      </c>
    </row>
    <row r="125" customFormat="false" ht="15" hidden="false" customHeight="false" outlineLevel="0" collapsed="false">
      <c r="A125" s="2" t="s">
        <v>74</v>
      </c>
      <c r="B125" s="3" t="s">
        <v>75</v>
      </c>
      <c r="C125" s="2" t="s">
        <v>309</v>
      </c>
      <c r="D125" s="14" t="n">
        <v>5</v>
      </c>
      <c r="E125" s="15" t="str">
        <f aca="false">IFERROR(INDEX(Insumos!$F$5:$F$57,MATCH(C125,Insumos!$A$5:$A$57,0)),"?")</f>
        <v>oz</v>
      </c>
      <c r="F125" s="22" t="n">
        <f aca="false">IFERROR(INDEX(Insumos!$H$5:$H$57,MATCH(C125,Insumos!$A$5:$A$57,0)),0)</f>
        <v>0.394321766561514</v>
      </c>
      <c r="G125" s="9" t="n">
        <f aca="false">D125*F125</f>
        <v>1.97160883280757</v>
      </c>
    </row>
    <row r="126" customFormat="false" ht="15" hidden="false" customHeight="false" outlineLevel="0" collapsed="false">
      <c r="A126" s="2" t="s">
        <v>76</v>
      </c>
      <c r="B126" s="3" t="s">
        <v>77</v>
      </c>
      <c r="C126" s="2" t="s">
        <v>309</v>
      </c>
      <c r="D126" s="14" t="n">
        <v>25.36</v>
      </c>
      <c r="E126" s="15" t="str">
        <f aca="false">IFERROR(INDEX(Insumos!$F$5:$F$57,MATCH(C126,Insumos!$A$5:$A$57,0)),"?")</f>
        <v>oz</v>
      </c>
      <c r="F126" s="22" t="n">
        <f aca="false">IFERROR(INDEX(Insumos!$H$5:$H$57,MATCH(C126,Insumos!$A$5:$A$57,0)),0)</f>
        <v>0.394321766561514</v>
      </c>
      <c r="G126" s="9" t="n">
        <f aca="false">D126*F126</f>
        <v>10</v>
      </c>
    </row>
    <row r="127" customFormat="false" ht="15" hidden="false" customHeight="false" outlineLevel="0" collapsed="false">
      <c r="A127" s="2" t="s">
        <v>78</v>
      </c>
      <c r="B127" s="3" t="s">
        <v>79</v>
      </c>
      <c r="C127" s="2" t="s">
        <v>311</v>
      </c>
      <c r="D127" s="14" t="n">
        <v>4</v>
      </c>
      <c r="E127" s="15" t="str">
        <f aca="false">IFERROR(INDEX(Insumos!$F$5:$F$57,MATCH(C127,Insumos!$A$5:$A$57,0)),"?")</f>
        <v>oz</v>
      </c>
      <c r="F127" s="22" t="n">
        <f aca="false">IFERROR(INDEX(Insumos!$H$5:$H$57,MATCH(C127,Insumos!$A$5:$A$57,0)),0)</f>
        <v>0.394321766561514</v>
      </c>
      <c r="G127" s="9" t="n">
        <f aca="false">D127*F127</f>
        <v>1.57728706624606</v>
      </c>
    </row>
    <row r="128" customFormat="false" ht="15" hidden="false" customHeight="false" outlineLevel="0" collapsed="false">
      <c r="A128" s="2" t="s">
        <v>78</v>
      </c>
      <c r="B128" s="3" t="s">
        <v>79</v>
      </c>
      <c r="C128" s="2" t="s">
        <v>374</v>
      </c>
      <c r="D128" s="14" t="n">
        <v>0.5</v>
      </c>
      <c r="E128" s="15" t="str">
        <f aca="false">IFERROR(INDEX(Insumos!$F$5:$F$57,MATCH(C128,Insumos!$A$5:$A$57,0)),"?")</f>
        <v>oz</v>
      </c>
      <c r="F128" s="22" t="n">
        <f aca="false">IFERROR(INDEX(Insumos!$H$5:$H$57,MATCH(C128,Insumos!$A$5:$A$57,0)),0)</f>
        <v>0.0256</v>
      </c>
      <c r="G128" s="9" t="n">
        <f aca="false">D128*F128</f>
        <v>0.0128</v>
      </c>
    </row>
    <row r="129" customFormat="false" ht="15" hidden="false" customHeight="false" outlineLevel="0" collapsed="false">
      <c r="A129" s="2" t="s">
        <v>78</v>
      </c>
      <c r="B129" s="3" t="s">
        <v>79</v>
      </c>
      <c r="C129" s="2" t="s">
        <v>366</v>
      </c>
      <c r="D129" s="14" t="n">
        <v>1</v>
      </c>
      <c r="E129" s="15" t="str">
        <f aca="false">IFERROR(INDEX(Insumos!$F$5:$F$57,MATCH(C129,Insumos!$A$5:$A$57,0)),"?")</f>
        <v>unidad</v>
      </c>
      <c r="F129" s="22" t="n">
        <f aca="false">IFERROR(INDEX(Insumos!$H$5:$H$57,MATCH(C129,Insumos!$A$5:$A$57,0)),0)</f>
        <v>0.3</v>
      </c>
      <c r="G129" s="9" t="n">
        <f aca="false">D129*F129</f>
        <v>0.3</v>
      </c>
    </row>
    <row r="130" customFormat="false" ht="15" hidden="false" customHeight="false" outlineLevel="0" collapsed="false">
      <c r="A130" s="2" t="s">
        <v>78</v>
      </c>
      <c r="B130" s="3" t="s">
        <v>79</v>
      </c>
      <c r="C130" s="2" t="s">
        <v>327</v>
      </c>
      <c r="D130" s="14" t="n">
        <v>1</v>
      </c>
      <c r="E130" s="15" t="str">
        <f aca="false">IFERROR(INDEX(Insumos!$F$5:$F$57,MATCH(C130,Insumos!$A$5:$A$57,0)),"?")</f>
        <v>oz</v>
      </c>
      <c r="F130" s="22" t="n">
        <f aca="false">IFERROR(INDEX(Insumos!$H$5:$H$57,MATCH(C130,Insumos!$A$5:$A$57,0)),0)</f>
        <v>0.02465483234714</v>
      </c>
      <c r="G130" s="9" t="n">
        <f aca="false">D130*F130</f>
        <v>0.02465483234714</v>
      </c>
    </row>
    <row r="131" customFormat="false" ht="15" hidden="false" customHeight="false" outlineLevel="0" collapsed="false">
      <c r="A131" s="2" t="s">
        <v>80</v>
      </c>
      <c r="B131" s="3" t="s">
        <v>81</v>
      </c>
      <c r="C131" s="2" t="s">
        <v>80</v>
      </c>
      <c r="D131" s="14" t="n">
        <v>2</v>
      </c>
      <c r="E131" s="15" t="str">
        <f aca="false">IFERROR(INDEX(Insumos!$F$5:$F$57,MATCH(C131,Insumos!$A$5:$A$57,0)),"?")</f>
        <v>oz</v>
      </c>
      <c r="F131" s="22" t="n">
        <f aca="false">IFERROR(INDEX(Insumos!$H$5:$H$57,MATCH(C131,Insumos!$A$5:$A$57,0)),0)</f>
        <v>0.709779179810726</v>
      </c>
      <c r="G131" s="9" t="n">
        <f aca="false">D131*F131</f>
        <v>1.41955835962145</v>
      </c>
    </row>
    <row r="132" customFormat="false" ht="15" hidden="false" customHeight="false" outlineLevel="0" collapsed="false">
      <c r="A132" s="2" t="s">
        <v>83</v>
      </c>
      <c r="B132" s="3" t="s">
        <v>83</v>
      </c>
      <c r="C132" s="2" t="s">
        <v>83</v>
      </c>
      <c r="D132" s="14" t="n">
        <v>2</v>
      </c>
      <c r="E132" s="15" t="str">
        <f aca="false">IFERROR(INDEX(Insumos!$F$5:$F$57,MATCH(C132,Insumos!$A$5:$A$57,0)),"?")</f>
        <v>oz</v>
      </c>
      <c r="F132" s="22" t="n">
        <f aca="false">IFERROR(INDEX(Insumos!$H$5:$H$57,MATCH(C132,Insumos!$A$5:$A$57,0)),0)</f>
        <v>0.236686390532544</v>
      </c>
      <c r="G132" s="9" t="n">
        <f aca="false">D132*F132</f>
        <v>0.473372781065089</v>
      </c>
    </row>
    <row r="133" customFormat="false" ht="15" hidden="false" customHeight="false" outlineLevel="0" collapsed="false">
      <c r="A133" s="2" t="s">
        <v>84</v>
      </c>
      <c r="B133" s="3" t="s">
        <v>84</v>
      </c>
      <c r="C133" s="2" t="s">
        <v>84</v>
      </c>
      <c r="D133" s="14" t="n">
        <v>2</v>
      </c>
      <c r="E133" s="15" t="str">
        <f aca="false">IFERROR(INDEX(Insumos!$F$5:$F$57,MATCH(C133,Insumos!$A$5:$A$57,0)),"?")</f>
        <v>oz</v>
      </c>
      <c r="F133" s="22" t="n">
        <f aca="false">IFERROR(INDEX(Insumos!$H$5:$H$57,MATCH(C133,Insumos!$A$5:$A$57,0)),0)</f>
        <v>0.355029585798817</v>
      </c>
      <c r="G133" s="9" t="n">
        <f aca="false">D133*F133</f>
        <v>0.710059171597633</v>
      </c>
    </row>
    <row r="134" customFormat="false" ht="15" hidden="false" customHeight="false" outlineLevel="0" collapsed="false">
      <c r="A134" s="2" t="s">
        <v>85</v>
      </c>
      <c r="B134" s="3" t="s">
        <v>86</v>
      </c>
      <c r="C134" s="2" t="s">
        <v>85</v>
      </c>
      <c r="D134" s="14" t="n">
        <v>2</v>
      </c>
      <c r="E134" s="15" t="str">
        <f aca="false">IFERROR(INDEX(Insumos!$F$5:$F$57,MATCH(C134,Insumos!$A$5:$A$57,0)),"?")</f>
        <v>oz</v>
      </c>
      <c r="F134" s="22" t="n">
        <f aca="false">IFERROR(INDEX(Insumos!$H$5:$H$57,MATCH(C134,Insumos!$A$5:$A$57,0)),0)</f>
        <v>0.630914826498423</v>
      </c>
      <c r="G134" s="9" t="n">
        <f aca="false">D134*F134</f>
        <v>1.26182965299685</v>
      </c>
    </row>
    <row r="135" customFormat="false" ht="15" hidden="false" customHeight="false" outlineLevel="0" collapsed="false">
      <c r="A135" s="2" t="s">
        <v>87</v>
      </c>
      <c r="B135" s="3" t="s">
        <v>87</v>
      </c>
      <c r="C135" s="2" t="s">
        <v>87</v>
      </c>
      <c r="D135" s="14" t="n">
        <v>2</v>
      </c>
      <c r="E135" s="15" t="str">
        <f aca="false">IFERROR(INDEX(Insumos!$F$5:$F$57,MATCH(C135,Insumos!$A$5:$A$57,0)),"?")</f>
        <v>oz</v>
      </c>
      <c r="F135" s="22" t="n">
        <f aca="false">IFERROR(INDEX(Insumos!$H$5:$H$57,MATCH(C135,Insumos!$A$5:$A$57,0)),0)</f>
        <v>0.788643533123028</v>
      </c>
      <c r="G135" s="9" t="n">
        <f aca="false">D135*F135</f>
        <v>1.57728706624606</v>
      </c>
    </row>
    <row r="136" customFormat="false" ht="15" hidden="false" customHeight="false" outlineLevel="0" collapsed="false">
      <c r="A136" s="2" t="s">
        <v>88</v>
      </c>
      <c r="B136" s="3" t="s">
        <v>88</v>
      </c>
      <c r="C136" s="2" t="s">
        <v>88</v>
      </c>
      <c r="D136" s="14" t="n">
        <v>2</v>
      </c>
      <c r="E136" s="15" t="str">
        <f aca="false">IFERROR(INDEX(Insumos!$F$5:$F$57,MATCH(C136,Insumos!$A$5:$A$57,0)),"?")</f>
        <v>oz</v>
      </c>
      <c r="F136" s="22" t="n">
        <f aca="false">IFERROR(INDEX(Insumos!$H$5:$H$57,MATCH(C136,Insumos!$A$5:$A$57,0)),0)</f>
        <v>0.709779179810726</v>
      </c>
      <c r="G136" s="9" t="n">
        <f aca="false">D136*F136</f>
        <v>1.41955835962145</v>
      </c>
    </row>
    <row r="137" customFormat="false" ht="15" hidden="false" customHeight="false" outlineLevel="0" collapsed="false">
      <c r="A137" s="2" t="s">
        <v>89</v>
      </c>
      <c r="B137" s="3" t="s">
        <v>89</v>
      </c>
      <c r="C137" s="2" t="s">
        <v>89</v>
      </c>
      <c r="D137" s="14" t="n">
        <v>2</v>
      </c>
      <c r="E137" s="15" t="str">
        <f aca="false">IFERROR(INDEX(Insumos!$F$5:$F$57,MATCH(C137,Insumos!$A$5:$A$57,0)),"?")</f>
        <v>oz</v>
      </c>
      <c r="F137" s="22" t="n">
        <f aca="false">IFERROR(INDEX(Insumos!$H$5:$H$57,MATCH(C137,Insumos!$A$5:$A$57,0)),0)</f>
        <v>0.709779179810726</v>
      </c>
      <c r="G137" s="9" t="n">
        <f aca="false">D137*F137</f>
        <v>1.41955835962145</v>
      </c>
    </row>
    <row r="138" customFormat="false" ht="15" hidden="false" customHeight="false" outlineLevel="0" collapsed="false">
      <c r="A138" s="2" t="s">
        <v>90</v>
      </c>
      <c r="B138" s="3" t="s">
        <v>90</v>
      </c>
      <c r="C138" s="2" t="s">
        <v>90</v>
      </c>
      <c r="D138" s="14" t="n">
        <v>2</v>
      </c>
      <c r="E138" s="15" t="str">
        <f aca="false">IFERROR(INDEX(Insumos!$F$5:$F$57,MATCH(C138,Insumos!$A$5:$A$57,0)),"?")</f>
        <v>oz</v>
      </c>
      <c r="F138" s="22" t="n">
        <f aca="false">IFERROR(INDEX(Insumos!$H$5:$H$57,MATCH(C138,Insumos!$A$5:$A$57,0)),0)</f>
        <v>1.26182965299685</v>
      </c>
      <c r="G138" s="9" t="n">
        <f aca="false">D138*F138</f>
        <v>2.52365930599369</v>
      </c>
    </row>
    <row r="139" customFormat="false" ht="15" hidden="false" customHeight="false" outlineLevel="0" collapsed="false">
      <c r="A139" s="2" t="s">
        <v>90</v>
      </c>
      <c r="B139" s="3" t="s">
        <v>90</v>
      </c>
      <c r="C139" s="2" t="s">
        <v>170</v>
      </c>
      <c r="D139" s="14" t="n">
        <v>1</v>
      </c>
      <c r="E139" s="15" t="str">
        <f aca="false">IFERROR(INDEX(Insumos!$F$5:$F$57,MATCH(C139,Insumos!$A$5:$A$57,0)),"?")</f>
        <v>unidad</v>
      </c>
      <c r="F139" s="22" t="n">
        <f aca="false">IFERROR(INDEX(Insumos!$H$5:$H$57,MATCH(C139,Insumos!$A$5:$A$57,0)),0)</f>
        <v>0.1</v>
      </c>
      <c r="G139" s="9" t="n">
        <f aca="false">D139*F139</f>
        <v>0.1</v>
      </c>
    </row>
    <row r="140" customFormat="false" ht="15" hidden="false" customHeight="false" outlineLevel="0" collapsed="false">
      <c r="A140" s="2" t="s">
        <v>91</v>
      </c>
      <c r="B140" s="3" t="s">
        <v>91</v>
      </c>
      <c r="C140" s="2" t="s">
        <v>382</v>
      </c>
      <c r="D140" s="14" t="n">
        <v>1.5</v>
      </c>
      <c r="E140" s="15" t="str">
        <f aca="false">IFERROR(INDEX(Insumos!$F$5:$F$57,MATCH(C140,Insumos!$A$5:$A$57,0)),"?")</f>
        <v>oz</v>
      </c>
      <c r="F140" s="22" t="n">
        <f aca="false">IFERROR(INDEX(Insumos!$H$5:$H$57,MATCH(C140,Insumos!$A$5:$A$57,0)),0)</f>
        <v>0.0728125</v>
      </c>
      <c r="G140" s="9" t="n">
        <f aca="false">D140*F140</f>
        <v>0.10921875</v>
      </c>
    </row>
    <row r="141" customFormat="false" ht="15" hidden="false" customHeight="false" outlineLevel="0" collapsed="false">
      <c r="A141" s="2" t="s">
        <v>91</v>
      </c>
      <c r="B141" s="3" t="s">
        <v>91</v>
      </c>
      <c r="C141" s="2" t="s">
        <v>338</v>
      </c>
      <c r="D141" s="14" t="n">
        <v>0.5</v>
      </c>
      <c r="E141" s="15" t="str">
        <f aca="false">IFERROR(INDEX(Insumos!$F$5:$F$57,MATCH(C141,Insumos!$A$5:$A$57,0)),"?")</f>
        <v>oz</v>
      </c>
      <c r="F141" s="22" t="n">
        <f aca="false">IFERROR(INDEX(Insumos!$H$5:$H$57,MATCH(C141,Insumos!$A$5:$A$57,0)),0)</f>
        <v>0.2</v>
      </c>
      <c r="G141" s="9" t="n">
        <f aca="false">D141*F141</f>
        <v>0.1</v>
      </c>
    </row>
    <row r="142" customFormat="false" ht="15" hidden="false" customHeight="false" outlineLevel="0" collapsed="false">
      <c r="A142" s="2" t="s">
        <v>91</v>
      </c>
      <c r="B142" s="3" t="s">
        <v>91</v>
      </c>
      <c r="C142" s="2" t="s">
        <v>327</v>
      </c>
      <c r="D142" s="14" t="n">
        <v>4</v>
      </c>
      <c r="E142" s="15" t="str">
        <f aca="false">IFERROR(INDEX(Insumos!$F$5:$F$57,MATCH(C142,Insumos!$A$5:$A$57,0)),"?")</f>
        <v>oz</v>
      </c>
      <c r="F142" s="22" t="n">
        <f aca="false">IFERROR(INDEX(Insumos!$H$5:$H$57,MATCH(C142,Insumos!$A$5:$A$57,0)),0)</f>
        <v>0.02465483234714</v>
      </c>
      <c r="G142" s="9" t="n">
        <f aca="false">D142*F142</f>
        <v>0.0986193293885602</v>
      </c>
    </row>
    <row r="143" customFormat="false" ht="15" hidden="false" customHeight="false" outlineLevel="0" collapsed="false">
      <c r="A143" s="2" t="s">
        <v>93</v>
      </c>
      <c r="B143" s="3" t="s">
        <v>94</v>
      </c>
      <c r="C143" s="2" t="s">
        <v>356</v>
      </c>
      <c r="D143" s="14" t="n">
        <v>1.5</v>
      </c>
      <c r="E143" s="15" t="str">
        <f aca="false">IFERROR(INDEX(Insumos!$F$5:$F$57,MATCH(C143,Insumos!$A$5:$A$57,0)),"?")</f>
        <v>oz</v>
      </c>
      <c r="F143" s="22" t="n">
        <f aca="false">IFERROR(INDEX(Insumos!$H$5:$H$57,MATCH(C143,Insumos!$A$5:$A$57,0)),0)</f>
        <v>0.147058823529412</v>
      </c>
      <c r="G143" s="9" t="n">
        <f aca="false">D143*F143</f>
        <v>0.220588235294118</v>
      </c>
    </row>
    <row r="144" customFormat="false" ht="15" hidden="false" customHeight="false" outlineLevel="0" collapsed="false">
      <c r="A144" s="2" t="s">
        <v>93</v>
      </c>
      <c r="B144" s="3" t="s">
        <v>94</v>
      </c>
      <c r="C144" s="2" t="s">
        <v>325</v>
      </c>
      <c r="D144" s="14" t="n">
        <v>4</v>
      </c>
      <c r="E144" s="15" t="str">
        <f aca="false">IFERROR(INDEX(Insumos!$F$5:$F$57,MATCH(C144,Insumos!$A$5:$A$57,0)),"?")</f>
        <v>oz</v>
      </c>
      <c r="F144" s="22" t="n">
        <f aca="false">IFERROR(INDEX(Insumos!$H$5:$H$57,MATCH(C144,Insumos!$A$5:$A$57,0)),0)</f>
        <v>0.0916666666666667</v>
      </c>
      <c r="G144" s="9" t="n">
        <f aca="false">D144*F144</f>
        <v>0.366666666666667</v>
      </c>
    </row>
    <row r="145" customFormat="false" ht="15" hidden="false" customHeight="false" outlineLevel="0" collapsed="false">
      <c r="A145" s="2" t="s">
        <v>93</v>
      </c>
      <c r="B145" s="3" t="s">
        <v>94</v>
      </c>
      <c r="C145" s="2" t="s">
        <v>242</v>
      </c>
      <c r="D145" s="14" t="n">
        <v>1</v>
      </c>
      <c r="E145" s="15" t="str">
        <f aca="false">IFERROR(INDEX(Insumos!$F$5:$F$57,MATCH(C145,Insumos!$A$5:$A$57,0)),"?")</f>
        <v>unidad</v>
      </c>
      <c r="F145" s="22" t="n">
        <f aca="false">IFERROR(INDEX(Insumos!$H$5:$H$57,MATCH(C145,Insumos!$A$5:$A$57,0)),0)</f>
        <v>0.1</v>
      </c>
      <c r="G145" s="9" t="n">
        <f aca="false">D145*F145</f>
        <v>0.1</v>
      </c>
    </row>
    <row r="146" customFormat="false" ht="15" hidden="false" customHeight="false" outlineLevel="0" collapsed="false">
      <c r="A146" s="2" t="s">
        <v>95</v>
      </c>
      <c r="B146" s="3" t="s">
        <v>96</v>
      </c>
      <c r="C146" s="2" t="s">
        <v>380</v>
      </c>
      <c r="D146" s="14" t="n">
        <v>1</v>
      </c>
      <c r="E146" s="15" t="str">
        <f aca="false">IFERROR(INDEX(Insumos!$F$5:$F$57,MATCH(C146,Insumos!$A$5:$A$57,0)),"?")</f>
        <v>oz</v>
      </c>
      <c r="F146" s="22" t="n">
        <f aca="false">IFERROR(INDEX(Insumos!$H$5:$H$57,MATCH(C146,Insumos!$A$5:$A$57,0)),0)</f>
        <v>0.069</v>
      </c>
      <c r="G146" s="9" t="n">
        <f aca="false">D146*F146</f>
        <v>0.069</v>
      </c>
    </row>
    <row r="147" customFormat="false" ht="15" hidden="false" customHeight="false" outlineLevel="0" collapsed="false">
      <c r="A147" s="2" t="s">
        <v>95</v>
      </c>
      <c r="B147" s="3" t="s">
        <v>96</v>
      </c>
      <c r="C147" s="2" t="s">
        <v>338</v>
      </c>
      <c r="D147" s="14" t="n">
        <v>1</v>
      </c>
      <c r="E147" s="15" t="str">
        <f aca="false">IFERROR(INDEX(Insumos!$F$5:$F$57,MATCH(C147,Insumos!$A$5:$A$57,0)),"?")</f>
        <v>oz</v>
      </c>
      <c r="F147" s="22" t="n">
        <f aca="false">IFERROR(INDEX(Insumos!$H$5:$H$57,MATCH(C147,Insumos!$A$5:$A$57,0)),0)</f>
        <v>0.2</v>
      </c>
      <c r="G147" s="9" t="n">
        <f aca="false">D147*F147</f>
        <v>0.2</v>
      </c>
    </row>
    <row r="148" customFormat="false" ht="15" hidden="false" customHeight="false" outlineLevel="0" collapsed="false">
      <c r="A148" s="2" t="s">
        <v>95</v>
      </c>
      <c r="B148" s="3" t="s">
        <v>96</v>
      </c>
      <c r="C148" s="2" t="s">
        <v>327</v>
      </c>
      <c r="D148" s="14" t="n">
        <v>4</v>
      </c>
      <c r="E148" s="15" t="str">
        <f aca="false">IFERROR(INDEX(Insumos!$F$5:$F$57,MATCH(C148,Insumos!$A$5:$A$57,0)),"?")</f>
        <v>oz</v>
      </c>
      <c r="F148" s="22" t="n">
        <f aca="false">IFERROR(INDEX(Insumos!$H$5:$H$57,MATCH(C148,Insumos!$A$5:$A$57,0)),0)</f>
        <v>0.02465483234714</v>
      </c>
      <c r="G148" s="9" t="n">
        <f aca="false">D148*F148</f>
        <v>0.0986193293885602</v>
      </c>
    </row>
    <row r="149" customFormat="false" ht="15" hidden="false" customHeight="false" outlineLevel="0" collapsed="false">
      <c r="A149" s="2" t="s">
        <v>97</v>
      </c>
      <c r="B149" s="3" t="s">
        <v>98</v>
      </c>
      <c r="C149" s="2" t="s">
        <v>384</v>
      </c>
      <c r="D149" s="14" t="n">
        <v>10</v>
      </c>
      <c r="E149" s="15" t="str">
        <f aca="false">IFERROR(INDEX(Insumos!$F$5:$F$57,MATCH(C149,Insumos!$A$5:$A$57,0)),"?")</f>
        <v>oz</v>
      </c>
      <c r="F149" s="22" t="n">
        <f aca="false">IFERROR(INDEX(Insumos!$H$5:$H$57,MATCH(C149,Insumos!$A$5:$A$57,0)),0)</f>
        <v>0.028</v>
      </c>
      <c r="G149" s="9" t="n">
        <f aca="false">D149*F149</f>
        <v>0.28</v>
      </c>
    </row>
    <row r="150" customFormat="false" ht="15" hidden="false" customHeight="false" outlineLevel="0" collapsed="false">
      <c r="A150" s="2" t="s">
        <v>99</v>
      </c>
      <c r="B150" s="3" t="s">
        <v>100</v>
      </c>
      <c r="C150" s="2" t="s">
        <v>330</v>
      </c>
      <c r="D150" s="14" t="n">
        <v>12</v>
      </c>
      <c r="E150" s="15" t="str">
        <f aca="false">IFERROR(INDEX(Insumos!$F$5:$F$57,MATCH(C150,Insumos!$A$5:$A$57,0)),"?")</f>
        <v>oz</v>
      </c>
      <c r="F150" s="22" t="n">
        <f aca="false">IFERROR(INDEX(Insumos!$H$5:$H$57,MATCH(C150,Insumos!$A$5:$A$57,0)),0)</f>
        <v>0.0486111111111111</v>
      </c>
      <c r="G150" s="9" t="n">
        <f aca="false">D150*F150</f>
        <v>0.583333333333333</v>
      </c>
    </row>
    <row r="151" customFormat="false" ht="15" hidden="false" customHeight="false" outlineLevel="0" collapsed="false">
      <c r="A151" s="2" t="s">
        <v>101</v>
      </c>
      <c r="B151" s="3" t="s">
        <v>102</v>
      </c>
      <c r="C151" s="2" t="s">
        <v>371</v>
      </c>
      <c r="D151" s="14" t="n">
        <v>1</v>
      </c>
      <c r="E151" s="15" t="str">
        <f aca="false">IFERROR(INDEX(Insumos!$F$5:$F$57,MATCH(C151,Insumos!$A$5:$A$57,0)),"?")</f>
        <v>unidad</v>
      </c>
      <c r="F151" s="22" t="n">
        <f aca="false">IFERROR(INDEX(Insumos!$H$5:$H$57,MATCH(C151,Insumos!$A$5:$A$57,0)),0)</f>
        <v>0.56</v>
      </c>
      <c r="G151" s="9" t="n">
        <f aca="false">D151*F151</f>
        <v>0.56</v>
      </c>
    </row>
    <row r="152" customFormat="false" ht="15" hidden="false" customHeight="false" outlineLevel="0" collapsed="false">
      <c r="A152" s="2" t="s">
        <v>104</v>
      </c>
      <c r="B152" s="3" t="s">
        <v>104</v>
      </c>
      <c r="C152" s="2" t="s">
        <v>371</v>
      </c>
      <c r="D152" s="14" t="n">
        <v>1</v>
      </c>
      <c r="E152" s="15" t="str">
        <f aca="false">IFERROR(INDEX(Insumos!$F$5:$F$57,MATCH(C152,Insumos!$A$5:$A$57,0)),"?")</f>
        <v>unidad</v>
      </c>
      <c r="F152" s="22" t="n">
        <f aca="false">IFERROR(INDEX(Insumos!$H$5:$H$57,MATCH(C152,Insumos!$A$5:$A$57,0)),0)</f>
        <v>0.56</v>
      </c>
      <c r="G152" s="9" t="n">
        <f aca="false">D152*F152</f>
        <v>0.56</v>
      </c>
    </row>
    <row r="153" customFormat="false" ht="15" hidden="false" customHeight="false" outlineLevel="0" collapsed="false">
      <c r="A153" s="2" t="s">
        <v>104</v>
      </c>
      <c r="B153" s="3" t="s">
        <v>104</v>
      </c>
      <c r="C153" s="2" t="s">
        <v>301</v>
      </c>
      <c r="D153" s="14" t="n">
        <v>1.5</v>
      </c>
      <c r="E153" s="15" t="str">
        <f aca="false">IFERROR(INDEX(Insumos!$F$5:$F$57,MATCH(C153,Insumos!$A$5:$A$57,0)),"?")</f>
        <v>oz</v>
      </c>
      <c r="F153" s="22" t="n">
        <f aca="false">IFERROR(INDEX(Insumos!$H$5:$H$57,MATCH(C153,Insumos!$A$5:$A$57,0)),0)</f>
        <v>1.02523659305994</v>
      </c>
      <c r="G153" s="9" t="n">
        <f aca="false">D153*F153</f>
        <v>1.53785488958991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2026-09-23T03:05:07Z</dcterms:created>
  <dc:creator>openpyxl</dc:creator>
  <dc:description/>
  <dc:language>en-US</dc:language>
  <cp:lastModifiedBy/>
  <dcterms:modified xsi:type="dcterms:W3CDTF">2026-09-23T03:05:07Z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